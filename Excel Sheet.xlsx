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hidePivotFieldList="1"/>
  <bookViews>
    <workbookView xWindow="240" yWindow="105" windowWidth="14805" windowHeight="8010" tabRatio="724" activeTab="13"/>
  </bookViews>
  <sheets>
    <sheet name="Normal Sheet" sheetId="1" r:id="rId1"/>
    <sheet name="Table" sheetId="2" r:id="rId2"/>
    <sheet name="Sheet1" sheetId="3" r:id="rId3"/>
    <sheet name="Sheet2" sheetId="4" r:id="rId4"/>
    <sheet name="Jan" sheetId="18" r:id="rId5"/>
    <sheet name="Feb" sheetId="17" r:id="rId6"/>
    <sheet name="Mar" sheetId="16" r:id="rId7"/>
    <sheet name="Apr" sheetId="15" r:id="rId8"/>
    <sheet name="May" sheetId="14" r:id="rId9"/>
    <sheet name="June" sheetId="7" r:id="rId10"/>
    <sheet name="Jul" sheetId="13" r:id="rId11"/>
    <sheet name="IF Function" sheetId="12" r:id="rId12"/>
    <sheet name="NESTED IF" sheetId="11" r:id="rId13"/>
    <sheet name="Oct" sheetId="10" r:id="rId14"/>
    <sheet name="Nov" sheetId="9" r:id="rId15"/>
    <sheet name="Dec" sheetId="8" r:id="rId16"/>
  </sheets>
  <definedNames>
    <definedName name="_xlnm._FilterDatabase" localSheetId="11" hidden="1">'IF Function'!$P$6:$S$8</definedName>
  </definedNames>
  <calcPr calcId="152511"/>
  <pivotCaches>
    <pivotCache cacheId="2" r:id="rId17"/>
  </pivotCaches>
</workbook>
</file>

<file path=xl/calcChain.xml><?xml version="1.0" encoding="utf-8"?>
<calcChain xmlns="http://schemas.openxmlformats.org/spreadsheetml/2006/main">
  <c r="O14" i="10" l="1"/>
  <c r="L14" i="10"/>
  <c r="J14" i="10"/>
  <c r="K14" i="10" s="1"/>
  <c r="N14" i="10" s="1"/>
  <c r="O13" i="10"/>
  <c r="L13" i="10"/>
  <c r="J13" i="10"/>
  <c r="O12" i="10"/>
  <c r="L12" i="10"/>
  <c r="J12" i="10"/>
  <c r="K12" i="10" s="1"/>
  <c r="N12" i="10" s="1"/>
  <c r="O11" i="10"/>
  <c r="L11" i="10"/>
  <c r="J11" i="10"/>
  <c r="O10" i="10"/>
  <c r="L10" i="10"/>
  <c r="J10" i="10"/>
  <c r="K10" i="10" s="1"/>
  <c r="N10" i="10" s="1"/>
  <c r="O9" i="10"/>
  <c r="L9" i="10"/>
  <c r="J9" i="10"/>
  <c r="O8" i="10"/>
  <c r="L8" i="10"/>
  <c r="J8" i="10"/>
  <c r="K8" i="10" s="1"/>
  <c r="N8" i="10" s="1"/>
  <c r="O7" i="10"/>
  <c r="L7" i="10"/>
  <c r="J7" i="10"/>
  <c r="M7" i="10" s="1"/>
  <c r="O6" i="10"/>
  <c r="L6" i="10"/>
  <c r="J6" i="10"/>
  <c r="K6" i="10" s="1"/>
  <c r="N6" i="10" s="1"/>
  <c r="O5" i="10"/>
  <c r="L5" i="10"/>
  <c r="J5" i="10"/>
  <c r="M11" i="10" l="1"/>
  <c r="M9" i="10"/>
  <c r="M13" i="10"/>
  <c r="M5" i="10"/>
  <c r="K5" i="10"/>
  <c r="N5" i="10" s="1"/>
  <c r="M6" i="10"/>
  <c r="K7" i="10"/>
  <c r="N7" i="10" s="1"/>
  <c r="M8" i="10"/>
  <c r="K9" i="10"/>
  <c r="N9" i="10" s="1"/>
  <c r="M10" i="10"/>
  <c r="K11" i="10"/>
  <c r="N11" i="10" s="1"/>
  <c r="M12" i="10"/>
  <c r="K13" i="10"/>
  <c r="N13" i="10" s="1"/>
  <c r="M14" i="10"/>
  <c r="R8" i="12"/>
  <c r="J7" i="12" l="1"/>
  <c r="J8" i="12"/>
  <c r="J9" i="12"/>
  <c r="J10" i="12"/>
  <c r="J11" i="12"/>
  <c r="J12" i="12"/>
  <c r="J14" i="12"/>
  <c r="J15" i="12"/>
  <c r="J16" i="12"/>
  <c r="J17" i="12"/>
  <c r="J18" i="12"/>
  <c r="J19" i="12"/>
  <c r="J20" i="12"/>
  <c r="J22" i="12"/>
  <c r="J23" i="12"/>
  <c r="J24" i="12"/>
  <c r="J25" i="12"/>
  <c r="J26" i="12"/>
  <c r="J27" i="12"/>
  <c r="J28" i="12"/>
  <c r="J30" i="12"/>
  <c r="J31" i="12"/>
  <c r="J32" i="12"/>
  <c r="J33" i="12"/>
  <c r="J34" i="12"/>
  <c r="J35" i="12"/>
  <c r="J36" i="12"/>
  <c r="H14" i="12"/>
  <c r="H15" i="12"/>
  <c r="H16" i="12"/>
  <c r="H17" i="12"/>
  <c r="H18" i="12"/>
  <c r="H19" i="12"/>
  <c r="H20" i="12"/>
  <c r="H22" i="12"/>
  <c r="H23" i="12"/>
  <c r="H24" i="12"/>
  <c r="H25" i="12"/>
  <c r="H26" i="12"/>
  <c r="H27" i="12"/>
  <c r="H28" i="12"/>
  <c r="H30" i="12"/>
  <c r="H31" i="12"/>
  <c r="H32" i="12"/>
  <c r="H33" i="12"/>
  <c r="H34" i="12"/>
  <c r="H35" i="12"/>
  <c r="H36" i="12"/>
  <c r="J6" i="12"/>
  <c r="P8" i="12"/>
  <c r="P12" i="12"/>
  <c r="H6" i="12"/>
  <c r="H7" i="12"/>
  <c r="H8" i="12"/>
  <c r="H9" i="12"/>
  <c r="H10" i="12"/>
  <c r="H11" i="12"/>
  <c r="H12" i="12"/>
  <c r="I6" i="7" l="1"/>
  <c r="J6" i="7"/>
  <c r="K6" i="7"/>
  <c r="L6" i="7"/>
  <c r="M6" i="7"/>
  <c r="N6" i="7"/>
  <c r="O6" i="7"/>
  <c r="P6" i="7"/>
  <c r="I7" i="7"/>
  <c r="J7" i="7"/>
  <c r="K7" i="7"/>
  <c r="L7" i="7"/>
  <c r="M7" i="7"/>
  <c r="N7" i="7"/>
  <c r="O7" i="7"/>
  <c r="P7" i="7"/>
  <c r="I8" i="7"/>
  <c r="J8" i="7"/>
  <c r="K8" i="7"/>
  <c r="L8" i="7"/>
  <c r="M8" i="7"/>
  <c r="N8" i="7"/>
  <c r="O8" i="7"/>
  <c r="P8" i="7"/>
  <c r="I9" i="7"/>
  <c r="J9" i="7"/>
  <c r="K9" i="7"/>
  <c r="L9" i="7"/>
  <c r="M9" i="7"/>
  <c r="N9" i="7"/>
  <c r="O9" i="7"/>
  <c r="P9" i="7"/>
  <c r="I10" i="7"/>
  <c r="J10" i="7"/>
  <c r="K10" i="7"/>
  <c r="L10" i="7"/>
  <c r="M10" i="7"/>
  <c r="N10" i="7"/>
  <c r="O10" i="7"/>
  <c r="I11" i="7"/>
  <c r="J11" i="7"/>
  <c r="K11" i="7"/>
  <c r="L11" i="7"/>
  <c r="M11" i="7"/>
  <c r="N11" i="7"/>
  <c r="O11" i="7"/>
  <c r="P11" i="7"/>
  <c r="I12" i="7"/>
  <c r="J12" i="7"/>
  <c r="K12" i="7"/>
  <c r="L12" i="7"/>
  <c r="M12" i="7"/>
  <c r="N12" i="7"/>
  <c r="O12" i="7"/>
  <c r="P12" i="7"/>
  <c r="I13" i="7"/>
  <c r="J13" i="7"/>
  <c r="K13" i="7"/>
  <c r="L13" i="7"/>
  <c r="M13" i="7"/>
  <c r="N13" i="7"/>
  <c r="O13" i="7"/>
  <c r="P13" i="7"/>
  <c r="I14" i="7"/>
  <c r="J14" i="7"/>
  <c r="K14" i="7"/>
  <c r="L14" i="7"/>
  <c r="M14" i="7"/>
  <c r="N14" i="7"/>
  <c r="O14" i="7"/>
  <c r="P14" i="7"/>
  <c r="I15" i="7"/>
  <c r="J15" i="7"/>
  <c r="K15" i="7"/>
  <c r="L15" i="7"/>
  <c r="M15" i="7"/>
  <c r="N15" i="7"/>
  <c r="O15" i="7"/>
  <c r="P15" i="7"/>
  <c r="I16" i="7"/>
  <c r="J16" i="7"/>
  <c r="K16" i="7"/>
  <c r="L16" i="7"/>
  <c r="M16" i="7"/>
  <c r="N16" i="7"/>
  <c r="O16" i="7"/>
  <c r="P16" i="7"/>
  <c r="I17" i="7"/>
  <c r="J17" i="7"/>
  <c r="K17" i="7"/>
  <c r="L17" i="7"/>
  <c r="M17" i="7"/>
  <c r="N17" i="7"/>
  <c r="O17" i="7"/>
  <c r="P17" i="7"/>
  <c r="I18" i="7"/>
  <c r="J18" i="7"/>
  <c r="K18" i="7"/>
  <c r="L18" i="7"/>
  <c r="M18" i="7"/>
  <c r="N18" i="7"/>
  <c r="O18" i="7"/>
  <c r="P18" i="7"/>
  <c r="I19" i="7"/>
  <c r="J19" i="7"/>
  <c r="K19" i="7"/>
  <c r="L19" i="7"/>
  <c r="M19" i="7"/>
  <c r="N19" i="7"/>
  <c r="O19" i="7"/>
  <c r="P19" i="7"/>
  <c r="I20" i="7"/>
  <c r="J20" i="7"/>
  <c r="K20" i="7"/>
  <c r="L20" i="7"/>
  <c r="M20" i="7"/>
  <c r="N20" i="7"/>
  <c r="O20" i="7"/>
  <c r="P20" i="7"/>
  <c r="J5" i="7"/>
  <c r="K5" i="7"/>
  <c r="L5" i="7"/>
  <c r="M5" i="7"/>
  <c r="N5" i="7"/>
  <c r="O5" i="7"/>
  <c r="P5" i="7"/>
  <c r="I5" i="7"/>
  <c r="I21" i="7" l="1"/>
  <c r="M21" i="7"/>
  <c r="P21" i="7"/>
  <c r="L21" i="7"/>
  <c r="O21" i="7"/>
  <c r="K21" i="7"/>
  <c r="N21" i="7"/>
  <c r="J21" i="7"/>
  <c r="E5" i="7"/>
  <c r="F5" i="7"/>
  <c r="E6" i="7"/>
  <c r="F6" i="7"/>
  <c r="E7" i="7"/>
  <c r="F7" i="7"/>
  <c r="E8" i="7"/>
  <c r="F8" i="7"/>
  <c r="E9" i="7"/>
  <c r="F9" i="7"/>
  <c r="E10" i="7"/>
  <c r="F10" i="7"/>
  <c r="E11" i="7"/>
  <c r="F11" i="7"/>
  <c r="E12" i="7"/>
  <c r="F12" i="7"/>
  <c r="E13" i="7"/>
  <c r="F13" i="7"/>
  <c r="E14" i="7"/>
  <c r="F14" i="7"/>
  <c r="E15" i="7"/>
  <c r="F15" i="7"/>
  <c r="E16" i="7"/>
  <c r="F16" i="7"/>
  <c r="E17" i="7"/>
  <c r="F17" i="7"/>
  <c r="E18" i="7"/>
  <c r="F18" i="7"/>
  <c r="E19" i="7"/>
  <c r="F19" i="7"/>
  <c r="F4" i="7"/>
  <c r="E4" i="7"/>
  <c r="F14" i="15" l="1"/>
  <c r="P29" i="15"/>
  <c r="J30" i="15" l="1"/>
  <c r="H30" i="15"/>
  <c r="I30" i="15" s="1"/>
  <c r="D14" i="15" l="1"/>
  <c r="E14" i="15" s="1"/>
  <c r="F14" i="16" l="1"/>
  <c r="D14" i="16"/>
  <c r="E14" i="16" s="1"/>
  <c r="D36" i="4" l="1"/>
  <c r="C36" i="4"/>
  <c r="M40" i="4"/>
  <c r="L40" i="4"/>
  <c r="J17" i="18"/>
  <c r="J16" i="18"/>
  <c r="J15" i="18"/>
  <c r="J14" i="18"/>
  <c r="J13" i="18"/>
  <c r="J12" i="18"/>
  <c r="J11" i="18"/>
  <c r="J10" i="18"/>
  <c r="J9" i="18"/>
  <c r="F14" i="18"/>
  <c r="F10" i="18"/>
  <c r="F11" i="18"/>
  <c r="F15" i="18"/>
  <c r="F13" i="18"/>
  <c r="F12" i="18"/>
  <c r="F16" i="18"/>
  <c r="F9" i="18"/>
  <c r="F8" i="18"/>
  <c r="J18" i="18" l="1"/>
  <c r="F17" i="18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B33" i="1" l="1"/>
  <c r="C33" i="1"/>
  <c r="D33" i="1"/>
  <c r="E33" i="1"/>
  <c r="F33" i="1"/>
  <c r="G33" i="1"/>
  <c r="H33" i="1"/>
  <c r="A5" i="2" l="1"/>
  <c r="A6" i="2" s="1"/>
  <c r="A7" i="2" s="1"/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</calcChain>
</file>

<file path=xl/sharedStrings.xml><?xml version="1.0" encoding="utf-8"?>
<sst xmlns="http://schemas.openxmlformats.org/spreadsheetml/2006/main" count="478" uniqueCount="150">
  <si>
    <t xml:space="preserve">SNO </t>
  </si>
  <si>
    <t>NAME OF THE PERSON</t>
  </si>
  <si>
    <t>CONTACT NUMBER</t>
  </si>
  <si>
    <t>E-MAIL ID--IF</t>
  </si>
  <si>
    <t>STATUS</t>
  </si>
  <si>
    <t>BRANCH NAME/BRANCH CODE</t>
  </si>
  <si>
    <t>REMARK</t>
  </si>
  <si>
    <t>Column1</t>
  </si>
  <si>
    <t>Column2</t>
  </si>
  <si>
    <t>Column3</t>
  </si>
  <si>
    <t>Column4</t>
  </si>
  <si>
    <t>SNO</t>
  </si>
  <si>
    <t>BRANCH NAME / BRANCH CODE</t>
  </si>
  <si>
    <t>REMARKS</t>
  </si>
  <si>
    <t>Answred</t>
  </si>
  <si>
    <t>Kodad</t>
  </si>
  <si>
    <t>Not Interested</t>
  </si>
  <si>
    <t>Raja Shekhar</t>
  </si>
  <si>
    <t>rajaraja956874@gmail.com</t>
  </si>
  <si>
    <t>Total</t>
  </si>
  <si>
    <t>Anika Constructions</t>
  </si>
  <si>
    <t>Ravi Chandra</t>
  </si>
  <si>
    <t>Battula Gopi</t>
  </si>
  <si>
    <t>Babu Works Contract</t>
  </si>
  <si>
    <t>Challa Works Contract</t>
  </si>
  <si>
    <t>Diga Construction</t>
  </si>
  <si>
    <t>GR Infra</t>
  </si>
  <si>
    <t>Gupta Construction</t>
  </si>
  <si>
    <t>Jai Shiv Construction</t>
  </si>
  <si>
    <t>LOTUS CONSTRUCTIONS</t>
  </si>
  <si>
    <t>MJRR</t>
  </si>
  <si>
    <t>Nayak Construction</t>
  </si>
  <si>
    <t>Prag Build Masters</t>
  </si>
  <si>
    <t>Prakash Kumar Gupta</t>
  </si>
  <si>
    <t>Shalini Constructions</t>
  </si>
  <si>
    <t>Sheetal Enterprises</t>
  </si>
  <si>
    <t>Shubadi Construction</t>
  </si>
  <si>
    <t>Spacio Designs &amp; Constructions</t>
  </si>
  <si>
    <t>Sri Gayatri Constructions</t>
  </si>
  <si>
    <t>Venkata Sai Constructions</t>
  </si>
  <si>
    <t>SRM Constructions</t>
  </si>
  <si>
    <t>Ravi CHandra</t>
  </si>
  <si>
    <t>rajesh</t>
  </si>
  <si>
    <t>Ravi</t>
  </si>
  <si>
    <t>ramesh</t>
  </si>
  <si>
    <t>raju</t>
  </si>
  <si>
    <t>NAME OF THE CONTRACTOR</t>
  </si>
  <si>
    <t>REFERENCE</t>
  </si>
  <si>
    <t>MOBILE NUMBER</t>
  </si>
  <si>
    <t>YES</t>
  </si>
  <si>
    <t>NO</t>
  </si>
  <si>
    <t>ADCL THULLUR</t>
  </si>
  <si>
    <t xml:space="preserve">STAND BY </t>
  </si>
  <si>
    <t>PENDING</t>
  </si>
  <si>
    <t>RVR</t>
  </si>
  <si>
    <t>NOS</t>
  </si>
  <si>
    <t>CASUAL REPORT</t>
  </si>
  <si>
    <t>Just For Pratice</t>
  </si>
  <si>
    <t>Names</t>
  </si>
  <si>
    <t xml:space="preserve">Ajay </t>
  </si>
  <si>
    <t xml:space="preserve">Rakesh </t>
  </si>
  <si>
    <t>Durga</t>
  </si>
  <si>
    <t xml:space="preserve">Nani </t>
  </si>
  <si>
    <t xml:space="preserve">Keerthi </t>
  </si>
  <si>
    <t xml:space="preserve">Usha </t>
  </si>
  <si>
    <t>Ramana</t>
  </si>
  <si>
    <t>2020</t>
  </si>
  <si>
    <t>2025</t>
  </si>
  <si>
    <t>Ajay</t>
  </si>
  <si>
    <t>Search</t>
  </si>
  <si>
    <t>2k20</t>
  </si>
  <si>
    <t>2k25</t>
  </si>
  <si>
    <t>Rakesh</t>
  </si>
  <si>
    <t>Months</t>
  </si>
  <si>
    <t>Jan</t>
  </si>
  <si>
    <t>May</t>
  </si>
  <si>
    <t>June</t>
  </si>
  <si>
    <t>Aug</t>
  </si>
  <si>
    <t>Nov</t>
  </si>
  <si>
    <t>Dec</t>
  </si>
  <si>
    <t>3 ps</t>
  </si>
  <si>
    <t>100rs</t>
  </si>
  <si>
    <t>256rs</t>
  </si>
  <si>
    <t>6 ps</t>
  </si>
  <si>
    <t>56rs</t>
  </si>
  <si>
    <t>9 ps</t>
  </si>
  <si>
    <t>65rs</t>
  </si>
  <si>
    <t>8 ps</t>
  </si>
  <si>
    <t>75rs</t>
  </si>
  <si>
    <t>Camp I</t>
  </si>
  <si>
    <t xml:space="preserve"> </t>
  </si>
  <si>
    <t>AKHILESH KUMAR</t>
  </si>
  <si>
    <t>raju kandukuri 25</t>
  </si>
  <si>
    <t>rakesh yandrati 24</t>
  </si>
  <si>
    <t>prashanth kandhukuri 56</t>
  </si>
  <si>
    <t>ravi yandrati 24</t>
  </si>
  <si>
    <t>seethal yamongu 65</t>
  </si>
  <si>
    <t>ravindra raju 65</t>
  </si>
  <si>
    <t>venky y 5</t>
  </si>
  <si>
    <t>rakesh</t>
  </si>
  <si>
    <t>prashanth</t>
  </si>
  <si>
    <t>ravi</t>
  </si>
  <si>
    <t>seethal</t>
  </si>
  <si>
    <t>ravindra</t>
  </si>
  <si>
    <t>venky</t>
  </si>
  <si>
    <t>kandukuri</t>
  </si>
  <si>
    <t>yandrati</t>
  </si>
  <si>
    <t>kandhukuri</t>
  </si>
  <si>
    <t>yamongu</t>
  </si>
  <si>
    <t>y</t>
  </si>
  <si>
    <t xml:space="preserve">raju </t>
  </si>
  <si>
    <t>kanduLkuri</t>
  </si>
  <si>
    <t>VMBN,</t>
  </si>
  <si>
    <t>MASSION</t>
  </si>
  <si>
    <t>sno</t>
  </si>
  <si>
    <t>name</t>
  </si>
  <si>
    <t>num</t>
  </si>
  <si>
    <t>add</t>
  </si>
  <si>
    <t>roll</t>
  </si>
  <si>
    <t>hall</t>
  </si>
  <si>
    <t xml:space="preserve">using IF for giving Approval </t>
  </si>
  <si>
    <t>NAMES</t>
  </si>
  <si>
    <t>Approval</t>
  </si>
  <si>
    <t>Gender</t>
  </si>
  <si>
    <t>M</t>
  </si>
  <si>
    <t>F</t>
  </si>
  <si>
    <t>Mr/Ms</t>
  </si>
  <si>
    <t>Designation</t>
  </si>
  <si>
    <t>Sales</t>
  </si>
  <si>
    <t>Status</t>
  </si>
  <si>
    <t>SNo</t>
  </si>
  <si>
    <t>Name</t>
  </si>
  <si>
    <t xml:space="preserve">Id </t>
  </si>
  <si>
    <t>Telugu</t>
  </si>
  <si>
    <t>English</t>
  </si>
  <si>
    <t>Math</t>
  </si>
  <si>
    <t>Env</t>
  </si>
  <si>
    <t>Socail</t>
  </si>
  <si>
    <t>Average</t>
  </si>
  <si>
    <t xml:space="preserve">Rank </t>
  </si>
  <si>
    <t xml:space="preserve">Round Up of Average </t>
  </si>
  <si>
    <t>Reshu</t>
  </si>
  <si>
    <t>Naresh</t>
  </si>
  <si>
    <t>Charan</t>
  </si>
  <si>
    <t>Deekshi</t>
  </si>
  <si>
    <t>Nancy</t>
  </si>
  <si>
    <t>Venky</t>
  </si>
  <si>
    <t>Sunu</t>
  </si>
  <si>
    <t>Nandhu</t>
  </si>
  <si>
    <t>Sukesh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</si>
</sst>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 * #,##0_ ;_ * \-#,##0_ ;_ * &quot;-&quot;??_ ;_ @_ "/>
  </numFmts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3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8"/>
      <color theme="1"/>
      <name val="Arial Black"/>
      <family val="2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0"/>
      <color theme="1"/>
      <name val="Calibri"/>
      <family val="2"/>
      <scheme val="minor"/>
    </font>
    <font>
      <sz val="70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7" fillId="8" borderId="0" applyNumberFormat="0" applyBorder="0" applyAlignment="0" applyProtection="0"/>
    <xf numFmtId="0" fontId="12" fillId="13" borderId="0" applyNumberFormat="0" applyBorder="0" applyAlignment="0" applyProtection="0"/>
  </cellStyleXfs>
  <cellXfs count="9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/>
    <xf numFmtId="0" fontId="0" fillId="3" borderId="0" xfId="0" applyFill="1"/>
    <xf numFmtId="0" fontId="0" fillId="2" borderId="0" xfId="0" applyFill="1" applyAlignment="1">
      <alignment horizontal="left" vertical="center"/>
    </xf>
    <xf numFmtId="0" fontId="1" fillId="0" borderId="0" xfId="1"/>
    <xf numFmtId="14" fontId="0" fillId="0" borderId="0" xfId="0" applyNumberFormat="1"/>
    <xf numFmtId="164" fontId="0" fillId="0" borderId="1" xfId="2" applyNumberFormat="1" applyFont="1" applyFill="1" applyBorder="1" applyAlignment="1">
      <alignment horizontal="left" vertical="center"/>
    </xf>
    <xf numFmtId="164" fontId="0" fillId="0" borderId="1" xfId="2" applyNumberFormat="1" applyFont="1" applyFill="1" applyBorder="1" applyAlignment="1">
      <alignment horizontal="center" vertical="center"/>
    </xf>
    <xf numFmtId="0" fontId="0" fillId="0" borderId="1" xfId="2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164" fontId="0" fillId="0" borderId="1" xfId="2" applyNumberFormat="1" applyFont="1" applyBorder="1" applyAlignment="1">
      <alignment vertical="center"/>
    </xf>
    <xf numFmtId="164" fontId="0" fillId="0" borderId="1" xfId="2" applyNumberFormat="1" applyFont="1" applyBorder="1" applyAlignment="1">
      <alignment horizontal="left" vertical="center"/>
    </xf>
    <xf numFmtId="164" fontId="0" fillId="0" borderId="1" xfId="2" applyNumberFormat="1" applyFont="1" applyBorder="1" applyAlignment="1">
      <alignment horizontal="center" vertical="center"/>
    </xf>
    <xf numFmtId="0" fontId="0" fillId="0" borderId="1" xfId="2" applyNumberFormat="1" applyFont="1" applyBorder="1" applyAlignment="1">
      <alignment horizontal="center" vertical="center"/>
    </xf>
    <xf numFmtId="164" fontId="0" fillId="0" borderId="1" xfId="2" applyNumberFormat="1" applyFont="1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/>
    <xf numFmtId="0" fontId="0" fillId="0" borderId="0" xfId="0" applyAlignment="1">
      <alignment horizontal="left"/>
    </xf>
    <xf numFmtId="164" fontId="0" fillId="0" borderId="1" xfId="2" applyNumberFormat="1" applyFont="1" applyBorder="1"/>
    <xf numFmtId="164" fontId="0" fillId="0" borderId="0" xfId="0" applyNumberFormat="1"/>
    <xf numFmtId="164" fontId="3" fillId="0" borderId="0" xfId="0" applyNumberFormat="1" applyFont="1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/>
    <xf numFmtId="0" fontId="0" fillId="0" borderId="7" xfId="0" applyBorder="1"/>
    <xf numFmtId="0" fontId="0" fillId="0" borderId="8" xfId="0" applyBorder="1"/>
    <xf numFmtId="0" fontId="0" fillId="7" borderId="1" xfId="0" applyFill="1" applyBorder="1"/>
    <xf numFmtId="0" fontId="0" fillId="9" borderId="1" xfId="0" applyFill="1" applyBorder="1"/>
    <xf numFmtId="0" fontId="0" fillId="0" borderId="0" xfId="0" pivotButton="1"/>
    <xf numFmtId="0" fontId="8" fillId="0" borderId="0" xfId="0" applyFont="1"/>
    <xf numFmtId="0" fontId="0" fillId="0" borderId="9" xfId="0" applyFill="1" applyBorder="1"/>
    <xf numFmtId="0" fontId="0" fillId="0" borderId="0" xfId="0" applyFill="1" applyBorder="1"/>
    <xf numFmtId="0" fontId="9" fillId="0" borderId="2" xfId="0" applyFont="1" applyBorder="1" applyAlignment="1">
      <alignment horizontal="left" vertical="top"/>
    </xf>
    <xf numFmtId="0" fontId="9" fillId="0" borderId="7" xfId="0" applyFont="1" applyBorder="1" applyAlignment="1">
      <alignment horizontal="left" vertical="top"/>
    </xf>
    <xf numFmtId="0" fontId="0" fillId="4" borderId="0" xfId="0" applyFill="1"/>
    <xf numFmtId="0" fontId="0" fillId="4" borderId="0" xfId="0" applyFill="1" applyAlignment="1"/>
    <xf numFmtId="0" fontId="7" fillId="8" borderId="1" xfId="3" applyBorder="1"/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10" borderId="1" xfId="0" applyFill="1" applyBorder="1"/>
    <xf numFmtId="0" fontId="0" fillId="10" borderId="0" xfId="0" applyFill="1"/>
    <xf numFmtId="0" fontId="9" fillId="0" borderId="0" xfId="0" applyFont="1"/>
    <xf numFmtId="0" fontId="0" fillId="0" borderId="1" xfId="0" applyFont="1" applyFill="1" applyBorder="1"/>
    <xf numFmtId="0" fontId="0" fillId="0" borderId="2" xfId="0" applyFont="1" applyFill="1" applyBorder="1"/>
    <xf numFmtId="0" fontId="0" fillId="0" borderId="13" xfId="0" applyFont="1" applyFill="1" applyBorder="1"/>
    <xf numFmtId="0" fontId="0" fillId="0" borderId="12" xfId="0" applyFont="1" applyFill="1" applyBorder="1"/>
    <xf numFmtId="0" fontId="0" fillId="0" borderId="0" xfId="0" applyBorder="1"/>
    <xf numFmtId="0" fontId="8" fillId="0" borderId="1" xfId="0" applyFont="1" applyBorder="1"/>
    <xf numFmtId="0" fontId="8" fillId="12" borderId="9" xfId="0" applyFont="1" applyFill="1" applyBorder="1"/>
    <xf numFmtId="0" fontId="8" fillId="9" borderId="1" xfId="0" applyFont="1" applyFill="1" applyBorder="1"/>
    <xf numFmtId="0" fontId="8" fillId="0" borderId="0" xfId="0" applyFont="1" applyFill="1" applyBorder="1"/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1" xfId="0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0" fillId="12" borderId="7" xfId="0" applyFont="1" applyFill="1" applyBorder="1" applyAlignment="1">
      <alignment horizontal="center"/>
    </xf>
    <xf numFmtId="0" fontId="10" fillId="12" borderId="14" xfId="0" applyFont="1" applyFill="1" applyBorder="1" applyAlignment="1">
      <alignment horizontal="center"/>
    </xf>
    <xf numFmtId="0" fontId="10" fillId="12" borderId="8" xfId="0" applyFont="1" applyFill="1" applyBorder="1" applyAlignment="1">
      <alignment horizontal="center"/>
    </xf>
    <xf numFmtId="0" fontId="10" fillId="12" borderId="11" xfId="0" applyFont="1" applyFill="1" applyBorder="1" applyAlignment="1">
      <alignment horizontal="center"/>
    </xf>
    <xf numFmtId="0" fontId="10" fillId="12" borderId="0" xfId="0" applyFont="1" applyFill="1" applyBorder="1" applyAlignment="1">
      <alignment horizontal="center"/>
    </xf>
    <xf numFmtId="0" fontId="10" fillId="12" borderId="15" xfId="0" applyFont="1" applyFill="1" applyBorder="1" applyAlignment="1">
      <alignment horizontal="center"/>
    </xf>
    <xf numFmtId="0" fontId="10" fillId="12" borderId="5" xfId="0" applyFont="1" applyFill="1" applyBorder="1" applyAlignment="1">
      <alignment horizontal="center"/>
    </xf>
    <xf numFmtId="0" fontId="10" fillId="12" borderId="10" xfId="0" applyFont="1" applyFill="1" applyBorder="1" applyAlignment="1">
      <alignment horizontal="center"/>
    </xf>
    <xf numFmtId="0" fontId="10" fillId="12" borderId="4" xfId="0" applyFont="1" applyFill="1" applyBorder="1" applyAlignment="1">
      <alignment horizontal="center"/>
    </xf>
    <xf numFmtId="0" fontId="11" fillId="11" borderId="0" xfId="0" applyFont="1" applyFill="1" applyAlignment="1">
      <alignment horizontal="center"/>
    </xf>
    <xf numFmtId="0" fontId="11" fillId="11" borderId="10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2" fillId="13" borderId="2" xfId="4" applyBorder="1" applyAlignment="1">
      <alignment horizontal="center"/>
    </xf>
    <xf numFmtId="0" fontId="12" fillId="13" borderId="16" xfId="4" applyBorder="1" applyAlignment="1">
      <alignment horizontal="center"/>
    </xf>
    <xf numFmtId="0" fontId="12" fillId="13" borderId="3" xfId="4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3" fillId="0" borderId="1" xfId="4" applyFont="1" applyFill="1" applyBorder="1" applyAlignment="1">
      <alignment horizontal="center"/>
    </xf>
    <xf numFmtId="0" fontId="8" fillId="14" borderId="1" xfId="0" applyFont="1" applyFill="1" applyBorder="1" applyAlignment="1">
      <alignment horizontal="left"/>
    </xf>
    <xf numFmtId="0" fontId="8" fillId="14" borderId="1" xfId="0" applyFont="1" applyFill="1" applyBorder="1" applyAlignment="1">
      <alignment horizontal="left" vertical="center"/>
    </xf>
    <xf numFmtId="0" fontId="0" fillId="15" borderId="1" xfId="0" applyFill="1" applyBorder="1" applyAlignment="1">
      <alignment horizontal="left"/>
    </xf>
    <xf numFmtId="0" fontId="0" fillId="16" borderId="1" xfId="0" applyFill="1" applyBorder="1" applyAlignment="1">
      <alignment horizontal="left"/>
    </xf>
    <xf numFmtId="0" fontId="0" fillId="17" borderId="1" xfId="0" applyFill="1" applyBorder="1" applyAlignment="1">
      <alignment horizontal="left"/>
    </xf>
    <xf numFmtId="0" fontId="0" fillId="18" borderId="1" xfId="0" applyFill="1" applyBorder="1" applyAlignment="1">
      <alignment horizontal="left"/>
    </xf>
    <xf numFmtId="0" fontId="0" fillId="19" borderId="1" xfId="0" applyFill="1" applyBorder="1" applyAlignment="1">
      <alignment horizontal="left"/>
    </xf>
    <xf numFmtId="0" fontId="0" fillId="20" borderId="1" xfId="0" applyFill="1" applyBorder="1" applyAlignment="1">
      <alignment horizontal="left"/>
    </xf>
    <xf numFmtId="0" fontId="0" fillId="21" borderId="1" xfId="0" applyFill="1" applyBorder="1" applyAlignment="1">
      <alignment horizontal="left"/>
    </xf>
    <xf numFmtId="0" fontId="0" fillId="16" borderId="1" xfId="0" applyFill="1" applyBorder="1"/>
  </cellXfs>
  <cellStyles count="5">
    <cellStyle name="Bad" xfId="4" builtinId="27"/>
    <cellStyle name="Comma" xfId="2" builtinId="3"/>
    <cellStyle name="Good" xfId="3" builtinId="26"/>
    <cellStyle name="Hyperlink" xfId="1" builtinId="8"/>
    <cellStyle name="Normal" xfId="0" builtinId="0"/>
  </cellStyles>
  <dxfs count="66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numFmt numFmtId="6" formatCode="#,##0;[Red]\-#,##0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numFmt numFmtId="6" formatCode="#,##0;[Red]\-#,##0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 * #,##0_ ;_ * \-#,##0_ ;_ * &quot;-&quot;??_ ;_ @_ "/>
      <border diagonalUp="0" diagonalDown="0" outline="0">
        <left/>
        <right/>
        <top/>
        <bottom/>
      </border>
    </dxf>
    <dxf>
      <numFmt numFmtId="164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</dxfs>
  <tableStyles count="0" defaultTableStyle="TableStyleMedium2" defaultPivotStyle="PivotStyleMedium9"/>
  <colors>
    <mruColors>
      <color rgb="FF79F5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'Normal Sheet'!$G$13:$G$32</c:f>
              <c:numCache>
                <c:formatCode>_ * #,##0_ ;_ * \-#,##0_ ;_ * "-"??_ ;_ @_ </c:formatCode>
                <c:ptCount val="20"/>
                <c:pt idx="0">
                  <c:v>12</c:v>
                </c:pt>
                <c:pt idx="1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11</c:v>
                </c:pt>
                <c:pt idx="6">
                  <c:v>19</c:v>
                </c:pt>
                <c:pt idx="8">
                  <c:v>20</c:v>
                </c:pt>
                <c:pt idx="9">
                  <c:v>0</c:v>
                </c:pt>
                <c:pt idx="10">
                  <c:v>10</c:v>
                </c:pt>
                <c:pt idx="11">
                  <c:v>0</c:v>
                </c:pt>
                <c:pt idx="12">
                  <c:v>17</c:v>
                </c:pt>
                <c:pt idx="13">
                  <c:v>8</c:v>
                </c:pt>
                <c:pt idx="14">
                  <c:v>9</c:v>
                </c:pt>
                <c:pt idx="17">
                  <c:v>44</c:v>
                </c:pt>
                <c:pt idx="18">
                  <c:v>0</c:v>
                </c:pt>
                <c:pt idx="19">
                  <c:v>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781702976"/>
        <c:axId val="-781704064"/>
      </c:barChart>
      <c:catAx>
        <c:axId val="-781702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81704064"/>
        <c:crosses val="autoZero"/>
        <c:auto val="1"/>
        <c:lblAlgn val="ctr"/>
        <c:lblOffset val="100"/>
        <c:noMultiLvlLbl val="0"/>
      </c:catAx>
      <c:valAx>
        <c:axId val="-78170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8170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Sheet1!$B$4:$B$35</c:f>
              <c:strCache>
                <c:ptCount val="32"/>
                <c:pt idx="1">
                  <c:v>Ajay </c:v>
                </c:pt>
                <c:pt idx="2">
                  <c:v>Rakesh </c:v>
                </c:pt>
                <c:pt idx="3">
                  <c:v>Durga</c:v>
                </c:pt>
                <c:pt idx="4">
                  <c:v>Nani </c:v>
                </c:pt>
                <c:pt idx="5">
                  <c:v>Keerthi </c:v>
                </c:pt>
                <c:pt idx="6">
                  <c:v>Usha </c:v>
                </c:pt>
                <c:pt idx="7">
                  <c:v>Ramana</c:v>
                </c:pt>
                <c:pt idx="9">
                  <c:v>Ajay </c:v>
                </c:pt>
                <c:pt idx="10">
                  <c:v>Rakesh </c:v>
                </c:pt>
                <c:pt idx="11">
                  <c:v>Durga</c:v>
                </c:pt>
                <c:pt idx="12">
                  <c:v>Nani </c:v>
                </c:pt>
                <c:pt idx="13">
                  <c:v>Keerthi </c:v>
                </c:pt>
                <c:pt idx="14">
                  <c:v>Usha </c:v>
                </c:pt>
                <c:pt idx="15">
                  <c:v>Ramana</c:v>
                </c:pt>
                <c:pt idx="17">
                  <c:v>Ajay </c:v>
                </c:pt>
                <c:pt idx="18">
                  <c:v>Rakesh </c:v>
                </c:pt>
                <c:pt idx="19">
                  <c:v>Durga</c:v>
                </c:pt>
                <c:pt idx="20">
                  <c:v>Nani </c:v>
                </c:pt>
                <c:pt idx="21">
                  <c:v>Keerthi </c:v>
                </c:pt>
                <c:pt idx="22">
                  <c:v>Usha </c:v>
                </c:pt>
                <c:pt idx="23">
                  <c:v>Ramana</c:v>
                </c:pt>
                <c:pt idx="25">
                  <c:v>Ajay </c:v>
                </c:pt>
                <c:pt idx="26">
                  <c:v>Rakesh </c:v>
                </c:pt>
                <c:pt idx="27">
                  <c:v>Durga</c:v>
                </c:pt>
                <c:pt idx="28">
                  <c:v>Nani </c:v>
                </c:pt>
                <c:pt idx="29">
                  <c:v>Keerthi </c:v>
                </c:pt>
                <c:pt idx="30">
                  <c:v>Usha </c:v>
                </c:pt>
                <c:pt idx="31">
                  <c:v>Ramana</c:v>
                </c:pt>
              </c:strCache>
            </c:strRef>
          </c:cat>
          <c:val>
            <c:numRef>
              <c:f>Sheet1!$C$4:$C$35</c:f>
              <c:numCache>
                <c:formatCode>General</c:formatCode>
                <c:ptCount val="32"/>
                <c:pt idx="1">
                  <c:v>20</c:v>
                </c:pt>
                <c:pt idx="2">
                  <c:v>24</c:v>
                </c:pt>
                <c:pt idx="3">
                  <c:v>23</c:v>
                </c:pt>
                <c:pt idx="4">
                  <c:v>24</c:v>
                </c:pt>
                <c:pt idx="5">
                  <c:v>24</c:v>
                </c:pt>
                <c:pt idx="6">
                  <c:v>23</c:v>
                </c:pt>
                <c:pt idx="7">
                  <c:v>26</c:v>
                </c:pt>
                <c:pt idx="9">
                  <c:v>20</c:v>
                </c:pt>
                <c:pt idx="10">
                  <c:v>24</c:v>
                </c:pt>
                <c:pt idx="11">
                  <c:v>23</c:v>
                </c:pt>
                <c:pt idx="12">
                  <c:v>24</c:v>
                </c:pt>
                <c:pt idx="13">
                  <c:v>24</c:v>
                </c:pt>
                <c:pt idx="14">
                  <c:v>23</c:v>
                </c:pt>
                <c:pt idx="15">
                  <c:v>26</c:v>
                </c:pt>
                <c:pt idx="17">
                  <c:v>20</c:v>
                </c:pt>
                <c:pt idx="18">
                  <c:v>24</c:v>
                </c:pt>
                <c:pt idx="19">
                  <c:v>23</c:v>
                </c:pt>
                <c:pt idx="20">
                  <c:v>24</c:v>
                </c:pt>
                <c:pt idx="21">
                  <c:v>24</c:v>
                </c:pt>
                <c:pt idx="22">
                  <c:v>23</c:v>
                </c:pt>
                <c:pt idx="23">
                  <c:v>26</c:v>
                </c:pt>
                <c:pt idx="25">
                  <c:v>20</c:v>
                </c:pt>
                <c:pt idx="26">
                  <c:v>24</c:v>
                </c:pt>
                <c:pt idx="27">
                  <c:v>23</c:v>
                </c:pt>
                <c:pt idx="28">
                  <c:v>24</c:v>
                </c:pt>
                <c:pt idx="29">
                  <c:v>24</c:v>
                </c:pt>
                <c:pt idx="30">
                  <c:v>23</c:v>
                </c:pt>
                <c:pt idx="31">
                  <c:v>26</c:v>
                </c:pt>
              </c:numCache>
            </c:numRef>
          </c:val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Sheet1!$B$4:$B$35</c:f>
              <c:strCache>
                <c:ptCount val="32"/>
                <c:pt idx="1">
                  <c:v>Ajay </c:v>
                </c:pt>
                <c:pt idx="2">
                  <c:v>Rakesh </c:v>
                </c:pt>
                <c:pt idx="3">
                  <c:v>Durga</c:v>
                </c:pt>
                <c:pt idx="4">
                  <c:v>Nani </c:v>
                </c:pt>
                <c:pt idx="5">
                  <c:v>Keerthi </c:v>
                </c:pt>
                <c:pt idx="6">
                  <c:v>Usha </c:v>
                </c:pt>
                <c:pt idx="7">
                  <c:v>Ramana</c:v>
                </c:pt>
                <c:pt idx="9">
                  <c:v>Ajay </c:v>
                </c:pt>
                <c:pt idx="10">
                  <c:v>Rakesh </c:v>
                </c:pt>
                <c:pt idx="11">
                  <c:v>Durga</c:v>
                </c:pt>
                <c:pt idx="12">
                  <c:v>Nani </c:v>
                </c:pt>
                <c:pt idx="13">
                  <c:v>Keerthi </c:v>
                </c:pt>
                <c:pt idx="14">
                  <c:v>Usha </c:v>
                </c:pt>
                <c:pt idx="15">
                  <c:v>Ramana</c:v>
                </c:pt>
                <c:pt idx="17">
                  <c:v>Ajay </c:v>
                </c:pt>
                <c:pt idx="18">
                  <c:v>Rakesh </c:v>
                </c:pt>
                <c:pt idx="19">
                  <c:v>Durga</c:v>
                </c:pt>
                <c:pt idx="20">
                  <c:v>Nani </c:v>
                </c:pt>
                <c:pt idx="21">
                  <c:v>Keerthi </c:v>
                </c:pt>
                <c:pt idx="22">
                  <c:v>Usha </c:v>
                </c:pt>
                <c:pt idx="23">
                  <c:v>Ramana</c:v>
                </c:pt>
                <c:pt idx="25">
                  <c:v>Ajay </c:v>
                </c:pt>
                <c:pt idx="26">
                  <c:v>Rakesh </c:v>
                </c:pt>
                <c:pt idx="27">
                  <c:v>Durga</c:v>
                </c:pt>
                <c:pt idx="28">
                  <c:v>Nani </c:v>
                </c:pt>
                <c:pt idx="29">
                  <c:v>Keerthi </c:v>
                </c:pt>
                <c:pt idx="30">
                  <c:v>Usha </c:v>
                </c:pt>
                <c:pt idx="31">
                  <c:v>Ramana</c:v>
                </c:pt>
              </c:strCache>
            </c:strRef>
          </c:cat>
          <c:val>
            <c:numRef>
              <c:f>Sheet1!$D$4:$D$35</c:f>
              <c:numCache>
                <c:formatCode>General</c:formatCode>
                <c:ptCount val="32"/>
                <c:pt idx="1">
                  <c:v>56</c:v>
                </c:pt>
                <c:pt idx="2">
                  <c:v>54</c:v>
                </c:pt>
                <c:pt idx="3">
                  <c:v>58</c:v>
                </c:pt>
                <c:pt idx="4">
                  <c:v>57</c:v>
                </c:pt>
                <c:pt idx="5">
                  <c:v>51</c:v>
                </c:pt>
                <c:pt idx="6">
                  <c:v>65</c:v>
                </c:pt>
                <c:pt idx="7">
                  <c:v>35</c:v>
                </c:pt>
                <c:pt idx="9">
                  <c:v>56</c:v>
                </c:pt>
                <c:pt idx="10">
                  <c:v>54</c:v>
                </c:pt>
                <c:pt idx="11">
                  <c:v>58</c:v>
                </c:pt>
                <c:pt idx="12">
                  <c:v>57</c:v>
                </c:pt>
                <c:pt idx="13">
                  <c:v>51</c:v>
                </c:pt>
                <c:pt idx="14">
                  <c:v>65</c:v>
                </c:pt>
                <c:pt idx="15">
                  <c:v>35</c:v>
                </c:pt>
                <c:pt idx="17">
                  <c:v>56</c:v>
                </c:pt>
                <c:pt idx="18">
                  <c:v>54</c:v>
                </c:pt>
                <c:pt idx="19">
                  <c:v>58</c:v>
                </c:pt>
                <c:pt idx="20">
                  <c:v>57</c:v>
                </c:pt>
                <c:pt idx="21">
                  <c:v>51</c:v>
                </c:pt>
                <c:pt idx="22">
                  <c:v>65</c:v>
                </c:pt>
                <c:pt idx="23">
                  <c:v>35</c:v>
                </c:pt>
                <c:pt idx="25">
                  <c:v>56</c:v>
                </c:pt>
                <c:pt idx="26">
                  <c:v>54</c:v>
                </c:pt>
                <c:pt idx="27">
                  <c:v>58</c:v>
                </c:pt>
                <c:pt idx="28">
                  <c:v>57</c:v>
                </c:pt>
                <c:pt idx="29">
                  <c:v>51</c:v>
                </c:pt>
                <c:pt idx="30">
                  <c:v>65</c:v>
                </c:pt>
                <c:pt idx="31">
                  <c:v>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781697536"/>
        <c:axId val="-781696448"/>
      </c:barChart>
      <c:catAx>
        <c:axId val="-78169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81696448"/>
        <c:crosses val="autoZero"/>
        <c:auto val="1"/>
        <c:lblAlgn val="ctr"/>
        <c:lblOffset val="100"/>
        <c:noMultiLvlLbl val="0"/>
      </c:catAx>
      <c:valAx>
        <c:axId val="-78169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8169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78251281930531"/>
          <c:y val="7.9398117612879529E-2"/>
          <c:w val="0.70276947111900212"/>
          <c:h val="0.73609042988269757"/>
        </c:manualLayout>
      </c:layout>
      <c:pieChart>
        <c:varyColors val="1"/>
        <c:ser>
          <c:idx val="0"/>
          <c:order val="0"/>
          <c:tx>
            <c:strRef>
              <c:f>Sheet1!$C$3</c:f>
              <c:strCache>
                <c:ptCount val="1"/>
                <c:pt idx="0">
                  <c:v>2020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Sheet1!$B$4:$B$35</c:f>
              <c:strCache>
                <c:ptCount val="32"/>
                <c:pt idx="1">
                  <c:v>Ajay </c:v>
                </c:pt>
                <c:pt idx="2">
                  <c:v>Rakesh </c:v>
                </c:pt>
                <c:pt idx="3">
                  <c:v>Durga</c:v>
                </c:pt>
                <c:pt idx="4">
                  <c:v>Nani </c:v>
                </c:pt>
                <c:pt idx="5">
                  <c:v>Keerthi </c:v>
                </c:pt>
                <c:pt idx="6">
                  <c:v>Usha </c:v>
                </c:pt>
                <c:pt idx="7">
                  <c:v>Ramana</c:v>
                </c:pt>
                <c:pt idx="9">
                  <c:v>Ajay </c:v>
                </c:pt>
                <c:pt idx="10">
                  <c:v>Rakesh </c:v>
                </c:pt>
                <c:pt idx="11">
                  <c:v>Durga</c:v>
                </c:pt>
                <c:pt idx="12">
                  <c:v>Nani </c:v>
                </c:pt>
                <c:pt idx="13">
                  <c:v>Keerthi </c:v>
                </c:pt>
                <c:pt idx="14">
                  <c:v>Usha </c:v>
                </c:pt>
                <c:pt idx="15">
                  <c:v>Ramana</c:v>
                </c:pt>
                <c:pt idx="17">
                  <c:v>Ajay </c:v>
                </c:pt>
                <c:pt idx="18">
                  <c:v>Rakesh </c:v>
                </c:pt>
                <c:pt idx="19">
                  <c:v>Durga</c:v>
                </c:pt>
                <c:pt idx="20">
                  <c:v>Nani </c:v>
                </c:pt>
                <c:pt idx="21">
                  <c:v>Keerthi </c:v>
                </c:pt>
                <c:pt idx="22">
                  <c:v>Usha </c:v>
                </c:pt>
                <c:pt idx="23">
                  <c:v>Ramana</c:v>
                </c:pt>
                <c:pt idx="25">
                  <c:v>Ajay </c:v>
                </c:pt>
                <c:pt idx="26">
                  <c:v>Rakesh </c:v>
                </c:pt>
                <c:pt idx="27">
                  <c:v>Durga</c:v>
                </c:pt>
                <c:pt idx="28">
                  <c:v>Nani </c:v>
                </c:pt>
                <c:pt idx="29">
                  <c:v>Keerthi </c:v>
                </c:pt>
                <c:pt idx="30">
                  <c:v>Usha </c:v>
                </c:pt>
                <c:pt idx="31">
                  <c:v>Ramana</c:v>
                </c:pt>
              </c:strCache>
            </c:strRef>
          </c:cat>
          <c:val>
            <c:numRef>
              <c:f>Sheet1!$C$4:$C$35</c:f>
              <c:numCache>
                <c:formatCode>General</c:formatCode>
                <c:ptCount val="32"/>
                <c:pt idx="1">
                  <c:v>20</c:v>
                </c:pt>
                <c:pt idx="2">
                  <c:v>24</c:v>
                </c:pt>
                <c:pt idx="3">
                  <c:v>23</c:v>
                </c:pt>
                <c:pt idx="4">
                  <c:v>24</c:v>
                </c:pt>
                <c:pt idx="5">
                  <c:v>24</c:v>
                </c:pt>
                <c:pt idx="6">
                  <c:v>23</c:v>
                </c:pt>
                <c:pt idx="7">
                  <c:v>26</c:v>
                </c:pt>
                <c:pt idx="9">
                  <c:v>20</c:v>
                </c:pt>
                <c:pt idx="10">
                  <c:v>24</c:v>
                </c:pt>
                <c:pt idx="11">
                  <c:v>23</c:v>
                </c:pt>
                <c:pt idx="12">
                  <c:v>24</c:v>
                </c:pt>
                <c:pt idx="13">
                  <c:v>24</c:v>
                </c:pt>
                <c:pt idx="14">
                  <c:v>23</c:v>
                </c:pt>
                <c:pt idx="15">
                  <c:v>26</c:v>
                </c:pt>
                <c:pt idx="17">
                  <c:v>20</c:v>
                </c:pt>
                <c:pt idx="18">
                  <c:v>24</c:v>
                </c:pt>
                <c:pt idx="19">
                  <c:v>23</c:v>
                </c:pt>
                <c:pt idx="20">
                  <c:v>24</c:v>
                </c:pt>
                <c:pt idx="21">
                  <c:v>24</c:v>
                </c:pt>
                <c:pt idx="22">
                  <c:v>23</c:v>
                </c:pt>
                <c:pt idx="23">
                  <c:v>26</c:v>
                </c:pt>
                <c:pt idx="25">
                  <c:v>20</c:v>
                </c:pt>
                <c:pt idx="26">
                  <c:v>24</c:v>
                </c:pt>
                <c:pt idx="27">
                  <c:v>23</c:v>
                </c:pt>
                <c:pt idx="28">
                  <c:v>24</c:v>
                </c:pt>
                <c:pt idx="29">
                  <c:v>24</c:v>
                </c:pt>
                <c:pt idx="30">
                  <c:v>23</c:v>
                </c:pt>
                <c:pt idx="31">
                  <c:v>26</c:v>
                </c:pt>
              </c:numCache>
            </c:numRef>
          </c:val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2025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Sheet1!$B$4:$B$35</c:f>
              <c:strCache>
                <c:ptCount val="32"/>
                <c:pt idx="1">
                  <c:v>Ajay </c:v>
                </c:pt>
                <c:pt idx="2">
                  <c:v>Rakesh </c:v>
                </c:pt>
                <c:pt idx="3">
                  <c:v>Durga</c:v>
                </c:pt>
                <c:pt idx="4">
                  <c:v>Nani </c:v>
                </c:pt>
                <c:pt idx="5">
                  <c:v>Keerthi </c:v>
                </c:pt>
                <c:pt idx="6">
                  <c:v>Usha </c:v>
                </c:pt>
                <c:pt idx="7">
                  <c:v>Ramana</c:v>
                </c:pt>
                <c:pt idx="9">
                  <c:v>Ajay </c:v>
                </c:pt>
                <c:pt idx="10">
                  <c:v>Rakesh </c:v>
                </c:pt>
                <c:pt idx="11">
                  <c:v>Durga</c:v>
                </c:pt>
                <c:pt idx="12">
                  <c:v>Nani </c:v>
                </c:pt>
                <c:pt idx="13">
                  <c:v>Keerthi </c:v>
                </c:pt>
                <c:pt idx="14">
                  <c:v>Usha </c:v>
                </c:pt>
                <c:pt idx="15">
                  <c:v>Ramana</c:v>
                </c:pt>
                <c:pt idx="17">
                  <c:v>Ajay </c:v>
                </c:pt>
                <c:pt idx="18">
                  <c:v>Rakesh </c:v>
                </c:pt>
                <c:pt idx="19">
                  <c:v>Durga</c:v>
                </c:pt>
                <c:pt idx="20">
                  <c:v>Nani </c:v>
                </c:pt>
                <c:pt idx="21">
                  <c:v>Keerthi </c:v>
                </c:pt>
                <c:pt idx="22">
                  <c:v>Usha </c:v>
                </c:pt>
                <c:pt idx="23">
                  <c:v>Ramana</c:v>
                </c:pt>
                <c:pt idx="25">
                  <c:v>Ajay </c:v>
                </c:pt>
                <c:pt idx="26">
                  <c:v>Rakesh </c:v>
                </c:pt>
                <c:pt idx="27">
                  <c:v>Durga</c:v>
                </c:pt>
                <c:pt idx="28">
                  <c:v>Nani </c:v>
                </c:pt>
                <c:pt idx="29">
                  <c:v>Keerthi </c:v>
                </c:pt>
                <c:pt idx="30">
                  <c:v>Usha </c:v>
                </c:pt>
                <c:pt idx="31">
                  <c:v>Ramana</c:v>
                </c:pt>
              </c:strCache>
            </c:strRef>
          </c:cat>
          <c:val>
            <c:numRef>
              <c:f>Sheet1!$D$4:$D$35</c:f>
              <c:numCache>
                <c:formatCode>General</c:formatCode>
                <c:ptCount val="32"/>
                <c:pt idx="1">
                  <c:v>56</c:v>
                </c:pt>
                <c:pt idx="2">
                  <c:v>54</c:v>
                </c:pt>
                <c:pt idx="3">
                  <c:v>58</c:v>
                </c:pt>
                <c:pt idx="4">
                  <c:v>57</c:v>
                </c:pt>
                <c:pt idx="5">
                  <c:v>51</c:v>
                </c:pt>
                <c:pt idx="6">
                  <c:v>65</c:v>
                </c:pt>
                <c:pt idx="7">
                  <c:v>35</c:v>
                </c:pt>
                <c:pt idx="9">
                  <c:v>56</c:v>
                </c:pt>
                <c:pt idx="10">
                  <c:v>54</c:v>
                </c:pt>
                <c:pt idx="11">
                  <c:v>58</c:v>
                </c:pt>
                <c:pt idx="12">
                  <c:v>57</c:v>
                </c:pt>
                <c:pt idx="13">
                  <c:v>51</c:v>
                </c:pt>
                <c:pt idx="14">
                  <c:v>65</c:v>
                </c:pt>
                <c:pt idx="15">
                  <c:v>35</c:v>
                </c:pt>
                <c:pt idx="17">
                  <c:v>56</c:v>
                </c:pt>
                <c:pt idx="18">
                  <c:v>54</c:v>
                </c:pt>
                <c:pt idx="19">
                  <c:v>58</c:v>
                </c:pt>
                <c:pt idx="20">
                  <c:v>57</c:v>
                </c:pt>
                <c:pt idx="21">
                  <c:v>51</c:v>
                </c:pt>
                <c:pt idx="22">
                  <c:v>65</c:v>
                </c:pt>
                <c:pt idx="23">
                  <c:v>35</c:v>
                </c:pt>
                <c:pt idx="25">
                  <c:v>56</c:v>
                </c:pt>
                <c:pt idx="26">
                  <c:v>54</c:v>
                </c:pt>
                <c:pt idx="27">
                  <c:v>58</c:v>
                </c:pt>
                <c:pt idx="28">
                  <c:v>57</c:v>
                </c:pt>
                <c:pt idx="29">
                  <c:v>51</c:v>
                </c:pt>
                <c:pt idx="30">
                  <c:v>65</c:v>
                </c:pt>
                <c:pt idx="31">
                  <c:v>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914260717410336E-2"/>
          <c:y val="0.19486111111111112"/>
          <c:w val="0.90286351706036749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Sheet1!$B$4:$B$35</c:f>
              <c:strCache>
                <c:ptCount val="32"/>
                <c:pt idx="1">
                  <c:v>Ajay </c:v>
                </c:pt>
                <c:pt idx="2">
                  <c:v>Rakesh </c:v>
                </c:pt>
                <c:pt idx="3">
                  <c:v>Durga</c:v>
                </c:pt>
                <c:pt idx="4">
                  <c:v>Nani </c:v>
                </c:pt>
                <c:pt idx="5">
                  <c:v>Keerthi </c:v>
                </c:pt>
                <c:pt idx="6">
                  <c:v>Usha </c:v>
                </c:pt>
                <c:pt idx="7">
                  <c:v>Ramana</c:v>
                </c:pt>
                <c:pt idx="9">
                  <c:v>Ajay </c:v>
                </c:pt>
                <c:pt idx="10">
                  <c:v>Rakesh </c:v>
                </c:pt>
                <c:pt idx="11">
                  <c:v>Durga</c:v>
                </c:pt>
                <c:pt idx="12">
                  <c:v>Nani </c:v>
                </c:pt>
                <c:pt idx="13">
                  <c:v>Keerthi </c:v>
                </c:pt>
                <c:pt idx="14">
                  <c:v>Usha </c:v>
                </c:pt>
                <c:pt idx="15">
                  <c:v>Ramana</c:v>
                </c:pt>
                <c:pt idx="17">
                  <c:v>Ajay </c:v>
                </c:pt>
                <c:pt idx="18">
                  <c:v>Rakesh </c:v>
                </c:pt>
                <c:pt idx="19">
                  <c:v>Durga</c:v>
                </c:pt>
                <c:pt idx="20">
                  <c:v>Nani </c:v>
                </c:pt>
                <c:pt idx="21">
                  <c:v>Keerthi </c:v>
                </c:pt>
                <c:pt idx="22">
                  <c:v>Usha </c:v>
                </c:pt>
                <c:pt idx="23">
                  <c:v>Ramana</c:v>
                </c:pt>
                <c:pt idx="25">
                  <c:v>Ajay </c:v>
                </c:pt>
                <c:pt idx="26">
                  <c:v>Rakesh </c:v>
                </c:pt>
                <c:pt idx="27">
                  <c:v>Durga</c:v>
                </c:pt>
                <c:pt idx="28">
                  <c:v>Nani </c:v>
                </c:pt>
                <c:pt idx="29">
                  <c:v>Keerthi </c:v>
                </c:pt>
                <c:pt idx="30">
                  <c:v>Usha </c:v>
                </c:pt>
                <c:pt idx="31">
                  <c:v>Ramana</c:v>
                </c:pt>
              </c:strCache>
            </c:strRef>
          </c:cat>
          <c:val>
            <c:numRef>
              <c:f>Sheet1!$C$4:$C$35</c:f>
              <c:numCache>
                <c:formatCode>General</c:formatCode>
                <c:ptCount val="32"/>
                <c:pt idx="1">
                  <c:v>20</c:v>
                </c:pt>
                <c:pt idx="2">
                  <c:v>24</c:v>
                </c:pt>
                <c:pt idx="3">
                  <c:v>23</c:v>
                </c:pt>
                <c:pt idx="4">
                  <c:v>24</c:v>
                </c:pt>
                <c:pt idx="5">
                  <c:v>24</c:v>
                </c:pt>
                <c:pt idx="6">
                  <c:v>23</c:v>
                </c:pt>
                <c:pt idx="7">
                  <c:v>26</c:v>
                </c:pt>
                <c:pt idx="9">
                  <c:v>20</c:v>
                </c:pt>
                <c:pt idx="10">
                  <c:v>24</c:v>
                </c:pt>
                <c:pt idx="11">
                  <c:v>23</c:v>
                </c:pt>
                <c:pt idx="12">
                  <c:v>24</c:v>
                </c:pt>
                <c:pt idx="13">
                  <c:v>24</c:v>
                </c:pt>
                <c:pt idx="14">
                  <c:v>23</c:v>
                </c:pt>
                <c:pt idx="15">
                  <c:v>26</c:v>
                </c:pt>
                <c:pt idx="17">
                  <c:v>20</c:v>
                </c:pt>
                <c:pt idx="18">
                  <c:v>24</c:v>
                </c:pt>
                <c:pt idx="19">
                  <c:v>23</c:v>
                </c:pt>
                <c:pt idx="20">
                  <c:v>24</c:v>
                </c:pt>
                <c:pt idx="21">
                  <c:v>24</c:v>
                </c:pt>
                <c:pt idx="22">
                  <c:v>23</c:v>
                </c:pt>
                <c:pt idx="23">
                  <c:v>26</c:v>
                </c:pt>
                <c:pt idx="25">
                  <c:v>20</c:v>
                </c:pt>
                <c:pt idx="26">
                  <c:v>24</c:v>
                </c:pt>
                <c:pt idx="27">
                  <c:v>23</c:v>
                </c:pt>
                <c:pt idx="28">
                  <c:v>24</c:v>
                </c:pt>
                <c:pt idx="29">
                  <c:v>24</c:v>
                </c:pt>
                <c:pt idx="30">
                  <c:v>23</c:v>
                </c:pt>
                <c:pt idx="31">
                  <c:v>26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Sheet1!$B$4:$B$35</c:f>
              <c:strCache>
                <c:ptCount val="32"/>
                <c:pt idx="1">
                  <c:v>Ajay </c:v>
                </c:pt>
                <c:pt idx="2">
                  <c:v>Rakesh </c:v>
                </c:pt>
                <c:pt idx="3">
                  <c:v>Durga</c:v>
                </c:pt>
                <c:pt idx="4">
                  <c:v>Nani </c:v>
                </c:pt>
                <c:pt idx="5">
                  <c:v>Keerthi </c:v>
                </c:pt>
                <c:pt idx="6">
                  <c:v>Usha </c:v>
                </c:pt>
                <c:pt idx="7">
                  <c:v>Ramana</c:v>
                </c:pt>
                <c:pt idx="9">
                  <c:v>Ajay </c:v>
                </c:pt>
                <c:pt idx="10">
                  <c:v>Rakesh </c:v>
                </c:pt>
                <c:pt idx="11">
                  <c:v>Durga</c:v>
                </c:pt>
                <c:pt idx="12">
                  <c:v>Nani </c:v>
                </c:pt>
                <c:pt idx="13">
                  <c:v>Keerthi </c:v>
                </c:pt>
                <c:pt idx="14">
                  <c:v>Usha </c:v>
                </c:pt>
                <c:pt idx="15">
                  <c:v>Ramana</c:v>
                </c:pt>
                <c:pt idx="17">
                  <c:v>Ajay </c:v>
                </c:pt>
                <c:pt idx="18">
                  <c:v>Rakesh </c:v>
                </c:pt>
                <c:pt idx="19">
                  <c:v>Durga</c:v>
                </c:pt>
                <c:pt idx="20">
                  <c:v>Nani </c:v>
                </c:pt>
                <c:pt idx="21">
                  <c:v>Keerthi </c:v>
                </c:pt>
                <c:pt idx="22">
                  <c:v>Usha </c:v>
                </c:pt>
                <c:pt idx="23">
                  <c:v>Ramana</c:v>
                </c:pt>
                <c:pt idx="25">
                  <c:v>Ajay </c:v>
                </c:pt>
                <c:pt idx="26">
                  <c:v>Rakesh </c:v>
                </c:pt>
                <c:pt idx="27">
                  <c:v>Durga</c:v>
                </c:pt>
                <c:pt idx="28">
                  <c:v>Nani </c:v>
                </c:pt>
                <c:pt idx="29">
                  <c:v>Keerthi </c:v>
                </c:pt>
                <c:pt idx="30">
                  <c:v>Usha </c:v>
                </c:pt>
                <c:pt idx="31">
                  <c:v>Ramana</c:v>
                </c:pt>
              </c:strCache>
            </c:strRef>
          </c:cat>
          <c:val>
            <c:numRef>
              <c:f>Sheet1!$D$4:$D$35</c:f>
              <c:numCache>
                <c:formatCode>General</c:formatCode>
                <c:ptCount val="32"/>
                <c:pt idx="1">
                  <c:v>56</c:v>
                </c:pt>
                <c:pt idx="2">
                  <c:v>54</c:v>
                </c:pt>
                <c:pt idx="3">
                  <c:v>58</c:v>
                </c:pt>
                <c:pt idx="4">
                  <c:v>57</c:v>
                </c:pt>
                <c:pt idx="5">
                  <c:v>51</c:v>
                </c:pt>
                <c:pt idx="6">
                  <c:v>65</c:v>
                </c:pt>
                <c:pt idx="7">
                  <c:v>35</c:v>
                </c:pt>
                <c:pt idx="9">
                  <c:v>56</c:v>
                </c:pt>
                <c:pt idx="10">
                  <c:v>54</c:v>
                </c:pt>
                <c:pt idx="11">
                  <c:v>58</c:v>
                </c:pt>
                <c:pt idx="12">
                  <c:v>57</c:v>
                </c:pt>
                <c:pt idx="13">
                  <c:v>51</c:v>
                </c:pt>
                <c:pt idx="14">
                  <c:v>65</c:v>
                </c:pt>
                <c:pt idx="15">
                  <c:v>35</c:v>
                </c:pt>
                <c:pt idx="17">
                  <c:v>56</c:v>
                </c:pt>
                <c:pt idx="18">
                  <c:v>54</c:v>
                </c:pt>
                <c:pt idx="19">
                  <c:v>58</c:v>
                </c:pt>
                <c:pt idx="20">
                  <c:v>57</c:v>
                </c:pt>
                <c:pt idx="21">
                  <c:v>51</c:v>
                </c:pt>
                <c:pt idx="22">
                  <c:v>65</c:v>
                </c:pt>
                <c:pt idx="23">
                  <c:v>35</c:v>
                </c:pt>
                <c:pt idx="25">
                  <c:v>56</c:v>
                </c:pt>
                <c:pt idx="26">
                  <c:v>54</c:v>
                </c:pt>
                <c:pt idx="27">
                  <c:v>58</c:v>
                </c:pt>
                <c:pt idx="28">
                  <c:v>57</c:v>
                </c:pt>
                <c:pt idx="29">
                  <c:v>51</c:v>
                </c:pt>
                <c:pt idx="30">
                  <c:v>65</c:v>
                </c:pt>
                <c:pt idx="31">
                  <c:v>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99591568"/>
        <c:axId val="-899597552"/>
      </c:lineChart>
      <c:catAx>
        <c:axId val="-89959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99597552"/>
        <c:crosses val="autoZero"/>
        <c:auto val="1"/>
        <c:lblAlgn val="ctr"/>
        <c:lblOffset val="100"/>
        <c:noMultiLvlLbl val="0"/>
      </c:catAx>
      <c:valAx>
        <c:axId val="-89959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9959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26B70083-AC16-4DEE-8474-8C8F60740A8F}" type="doc">
      <dgm:prSet loTypeId="urn:microsoft.com/office/officeart/2005/8/layout/cycle1" loCatId="cycle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IN"/>
        </a:p>
      </dgm:t>
    </dgm:pt>
    <dgm:pt modelId="{C03E01A4-2D7E-465C-9247-DB54ADEE59FF}">
      <dgm:prSet phldrT="[Text]"/>
      <dgm:spPr/>
      <dgm:t>
        <a:bodyPr/>
        <a:lstStyle/>
        <a:p>
          <a:r>
            <a:rPr lang="en-IN"/>
            <a:t>Rakesh</a:t>
          </a:r>
        </a:p>
      </dgm:t>
    </dgm:pt>
    <dgm:pt modelId="{E0B9D10F-427C-4C7C-9F47-61C6ED5DCB9C}" type="parTrans" cxnId="{4A677433-16D8-498D-A5B6-69A007EDE5B0}">
      <dgm:prSet/>
      <dgm:spPr/>
      <dgm:t>
        <a:bodyPr/>
        <a:lstStyle/>
        <a:p>
          <a:endParaRPr lang="en-IN"/>
        </a:p>
      </dgm:t>
    </dgm:pt>
    <dgm:pt modelId="{23C33659-424D-48A9-8009-7F5FECE68152}" type="sibTrans" cxnId="{4A677433-16D8-498D-A5B6-69A007EDE5B0}">
      <dgm:prSet/>
      <dgm:spPr/>
      <dgm:t>
        <a:bodyPr/>
        <a:lstStyle/>
        <a:p>
          <a:endParaRPr lang="en-IN"/>
        </a:p>
      </dgm:t>
    </dgm:pt>
    <dgm:pt modelId="{8596DC26-2025-41BF-8D4A-B7075EB60371}">
      <dgm:prSet phldrT="[Text]"/>
      <dgm:spPr/>
      <dgm:t>
        <a:bodyPr/>
        <a:lstStyle/>
        <a:p>
          <a:r>
            <a:rPr lang="en-IN"/>
            <a:t>Durga</a:t>
          </a:r>
        </a:p>
      </dgm:t>
    </dgm:pt>
    <dgm:pt modelId="{AFF0771F-EA59-48E0-AA9D-4F9A5835D710}" type="parTrans" cxnId="{5AAEFB4C-A7E9-4FBC-91C7-43FC96AEC446}">
      <dgm:prSet/>
      <dgm:spPr/>
      <dgm:t>
        <a:bodyPr/>
        <a:lstStyle/>
        <a:p>
          <a:endParaRPr lang="en-IN"/>
        </a:p>
      </dgm:t>
    </dgm:pt>
    <dgm:pt modelId="{A98CC807-77EA-4AC0-8254-51454E890171}" type="sibTrans" cxnId="{5AAEFB4C-A7E9-4FBC-91C7-43FC96AEC446}">
      <dgm:prSet/>
      <dgm:spPr/>
      <dgm:t>
        <a:bodyPr/>
        <a:lstStyle/>
        <a:p>
          <a:endParaRPr lang="en-IN"/>
        </a:p>
      </dgm:t>
    </dgm:pt>
    <dgm:pt modelId="{85CFC01A-43BC-4298-B7AD-3E8C44A78BCD}">
      <dgm:prSet phldrT="[Text]"/>
      <dgm:spPr/>
      <dgm:t>
        <a:bodyPr/>
        <a:lstStyle/>
        <a:p>
          <a:r>
            <a:rPr lang="en-IN"/>
            <a:t>Ajay</a:t>
          </a:r>
        </a:p>
      </dgm:t>
    </dgm:pt>
    <dgm:pt modelId="{3714BB5E-9C99-4735-B898-420FF510CA9B}" type="parTrans" cxnId="{D6B661A3-D148-46C2-933F-BECF4B803465}">
      <dgm:prSet/>
      <dgm:spPr/>
      <dgm:t>
        <a:bodyPr/>
        <a:lstStyle/>
        <a:p>
          <a:endParaRPr lang="en-IN"/>
        </a:p>
      </dgm:t>
    </dgm:pt>
    <dgm:pt modelId="{82F096A1-3B26-4513-9293-154276E9FFFE}" type="sibTrans" cxnId="{D6B661A3-D148-46C2-933F-BECF4B803465}">
      <dgm:prSet/>
      <dgm:spPr/>
      <dgm:t>
        <a:bodyPr/>
        <a:lstStyle/>
        <a:p>
          <a:endParaRPr lang="en-IN"/>
        </a:p>
      </dgm:t>
    </dgm:pt>
    <dgm:pt modelId="{583CB8DC-6832-4BAD-8FF6-17CE13488A4C}">
      <dgm:prSet phldrT="[Text]"/>
      <dgm:spPr/>
      <dgm:t>
        <a:bodyPr/>
        <a:lstStyle/>
        <a:p>
          <a:r>
            <a:rPr lang="en-IN"/>
            <a:t>Nani</a:t>
          </a:r>
        </a:p>
      </dgm:t>
    </dgm:pt>
    <dgm:pt modelId="{D355E05B-A860-4B52-ADB7-A89A13B4A7C6}" type="parTrans" cxnId="{D20FCEAD-35C4-44E6-934A-EE43A1102A7B}">
      <dgm:prSet/>
      <dgm:spPr/>
      <dgm:t>
        <a:bodyPr/>
        <a:lstStyle/>
        <a:p>
          <a:endParaRPr lang="en-IN"/>
        </a:p>
      </dgm:t>
    </dgm:pt>
    <dgm:pt modelId="{A6F19144-8A90-4326-AB5D-2DC58B073E34}" type="sibTrans" cxnId="{D20FCEAD-35C4-44E6-934A-EE43A1102A7B}">
      <dgm:prSet/>
      <dgm:spPr/>
      <dgm:t>
        <a:bodyPr/>
        <a:lstStyle/>
        <a:p>
          <a:endParaRPr lang="en-IN"/>
        </a:p>
      </dgm:t>
    </dgm:pt>
    <dgm:pt modelId="{D0ADFD77-76CF-4F0D-BBB3-CFAC9946E829}">
      <dgm:prSet phldrT="[Text]"/>
      <dgm:spPr/>
      <dgm:t>
        <a:bodyPr/>
        <a:lstStyle/>
        <a:p>
          <a:r>
            <a:rPr lang="en-IN"/>
            <a:t>Keerthi</a:t>
          </a:r>
        </a:p>
      </dgm:t>
    </dgm:pt>
    <dgm:pt modelId="{70CED04B-30CF-4686-88AB-CA9CB2DBD0EE}" type="parTrans" cxnId="{B4B74CC3-82A2-4503-BACC-CE8F22C4AEAE}">
      <dgm:prSet/>
      <dgm:spPr/>
      <dgm:t>
        <a:bodyPr/>
        <a:lstStyle/>
        <a:p>
          <a:endParaRPr lang="en-IN"/>
        </a:p>
      </dgm:t>
    </dgm:pt>
    <dgm:pt modelId="{8127D7F1-579A-4AC4-AAAB-535AFE7CF999}" type="sibTrans" cxnId="{B4B74CC3-82A2-4503-BACC-CE8F22C4AEAE}">
      <dgm:prSet/>
      <dgm:spPr/>
      <dgm:t>
        <a:bodyPr/>
        <a:lstStyle/>
        <a:p>
          <a:endParaRPr lang="en-IN"/>
        </a:p>
      </dgm:t>
    </dgm:pt>
    <dgm:pt modelId="{E14E353B-2606-4196-B79A-AEDA0B9324D9}" type="pres">
      <dgm:prSet presAssocID="{26B70083-AC16-4DEE-8474-8C8F60740A8F}" presName="cycle" presStyleCnt="0">
        <dgm:presLayoutVars>
          <dgm:dir/>
          <dgm:resizeHandles val="exact"/>
        </dgm:presLayoutVars>
      </dgm:prSet>
      <dgm:spPr/>
      <dgm:t>
        <a:bodyPr/>
        <a:lstStyle/>
        <a:p>
          <a:endParaRPr lang="en-IN"/>
        </a:p>
      </dgm:t>
    </dgm:pt>
    <dgm:pt modelId="{D35BD18D-719F-475C-8267-013DA6491576}" type="pres">
      <dgm:prSet presAssocID="{C03E01A4-2D7E-465C-9247-DB54ADEE59FF}" presName="dummy" presStyleCnt="0"/>
      <dgm:spPr/>
    </dgm:pt>
    <dgm:pt modelId="{12FE62AF-4542-4F05-A900-3B21CE164E77}" type="pres">
      <dgm:prSet presAssocID="{C03E01A4-2D7E-465C-9247-DB54ADEE59FF}" presName="node" presStyleLbl="revTx" presStyleIdx="0" presStyleCnt="5">
        <dgm:presLayoutVars>
          <dgm:bulletEnabled val="1"/>
        </dgm:presLayoutVars>
      </dgm:prSet>
      <dgm:spPr/>
      <dgm:t>
        <a:bodyPr/>
        <a:lstStyle/>
        <a:p>
          <a:endParaRPr lang="en-IN"/>
        </a:p>
      </dgm:t>
    </dgm:pt>
    <dgm:pt modelId="{4E0D402E-EC7C-4038-B79C-4990F5C61327}" type="pres">
      <dgm:prSet presAssocID="{23C33659-424D-48A9-8009-7F5FECE68152}" presName="sibTrans" presStyleLbl="node1" presStyleIdx="0" presStyleCnt="5"/>
      <dgm:spPr/>
      <dgm:t>
        <a:bodyPr/>
        <a:lstStyle/>
        <a:p>
          <a:endParaRPr lang="en-IN"/>
        </a:p>
      </dgm:t>
    </dgm:pt>
    <dgm:pt modelId="{9BEEAE04-378F-40ED-AC72-06082A4642B3}" type="pres">
      <dgm:prSet presAssocID="{8596DC26-2025-41BF-8D4A-B7075EB60371}" presName="dummy" presStyleCnt="0"/>
      <dgm:spPr/>
    </dgm:pt>
    <dgm:pt modelId="{40E3598B-176D-4F8D-8C07-2C38E2AE2CB4}" type="pres">
      <dgm:prSet presAssocID="{8596DC26-2025-41BF-8D4A-B7075EB60371}" presName="node" presStyleLbl="revTx" presStyleIdx="1" presStyleCnt="5">
        <dgm:presLayoutVars>
          <dgm:bulletEnabled val="1"/>
        </dgm:presLayoutVars>
      </dgm:prSet>
      <dgm:spPr/>
      <dgm:t>
        <a:bodyPr/>
        <a:lstStyle/>
        <a:p>
          <a:endParaRPr lang="en-IN"/>
        </a:p>
      </dgm:t>
    </dgm:pt>
    <dgm:pt modelId="{1F055D8C-8DEA-43A0-BC10-AD21EF6F44C9}" type="pres">
      <dgm:prSet presAssocID="{A98CC807-77EA-4AC0-8254-51454E890171}" presName="sibTrans" presStyleLbl="node1" presStyleIdx="1" presStyleCnt="5"/>
      <dgm:spPr/>
      <dgm:t>
        <a:bodyPr/>
        <a:lstStyle/>
        <a:p>
          <a:endParaRPr lang="en-IN"/>
        </a:p>
      </dgm:t>
    </dgm:pt>
    <dgm:pt modelId="{61813439-7E40-4316-9053-6969AA095A7E}" type="pres">
      <dgm:prSet presAssocID="{85CFC01A-43BC-4298-B7AD-3E8C44A78BCD}" presName="dummy" presStyleCnt="0"/>
      <dgm:spPr/>
    </dgm:pt>
    <dgm:pt modelId="{3EC68EE3-7C0F-4E71-AB31-FC182A58CAA0}" type="pres">
      <dgm:prSet presAssocID="{85CFC01A-43BC-4298-B7AD-3E8C44A78BCD}" presName="node" presStyleLbl="revTx" presStyleIdx="2" presStyleCnt="5">
        <dgm:presLayoutVars>
          <dgm:bulletEnabled val="1"/>
        </dgm:presLayoutVars>
      </dgm:prSet>
      <dgm:spPr/>
      <dgm:t>
        <a:bodyPr/>
        <a:lstStyle/>
        <a:p>
          <a:endParaRPr lang="en-IN"/>
        </a:p>
      </dgm:t>
    </dgm:pt>
    <dgm:pt modelId="{0FEB7FB1-1267-4C60-9CD5-BD3BEB450BEA}" type="pres">
      <dgm:prSet presAssocID="{82F096A1-3B26-4513-9293-154276E9FFFE}" presName="sibTrans" presStyleLbl="node1" presStyleIdx="2" presStyleCnt="5"/>
      <dgm:spPr/>
      <dgm:t>
        <a:bodyPr/>
        <a:lstStyle/>
        <a:p>
          <a:endParaRPr lang="en-IN"/>
        </a:p>
      </dgm:t>
    </dgm:pt>
    <dgm:pt modelId="{691C19B2-1FE5-4D13-8D08-1E2BB5168D23}" type="pres">
      <dgm:prSet presAssocID="{583CB8DC-6832-4BAD-8FF6-17CE13488A4C}" presName="dummy" presStyleCnt="0"/>
      <dgm:spPr/>
    </dgm:pt>
    <dgm:pt modelId="{713BFF90-AE34-4E7B-8884-6F08A605CAD8}" type="pres">
      <dgm:prSet presAssocID="{583CB8DC-6832-4BAD-8FF6-17CE13488A4C}" presName="node" presStyleLbl="revTx" presStyleIdx="3" presStyleCnt="5">
        <dgm:presLayoutVars>
          <dgm:bulletEnabled val="1"/>
        </dgm:presLayoutVars>
      </dgm:prSet>
      <dgm:spPr/>
      <dgm:t>
        <a:bodyPr/>
        <a:lstStyle/>
        <a:p>
          <a:endParaRPr lang="en-IN"/>
        </a:p>
      </dgm:t>
    </dgm:pt>
    <dgm:pt modelId="{191A62E1-3621-4E50-BDFD-406D15C70C9F}" type="pres">
      <dgm:prSet presAssocID="{A6F19144-8A90-4326-AB5D-2DC58B073E34}" presName="sibTrans" presStyleLbl="node1" presStyleIdx="3" presStyleCnt="5"/>
      <dgm:spPr/>
      <dgm:t>
        <a:bodyPr/>
        <a:lstStyle/>
        <a:p>
          <a:endParaRPr lang="en-IN"/>
        </a:p>
      </dgm:t>
    </dgm:pt>
    <dgm:pt modelId="{7A456421-CCCA-460D-990E-CBC1C2DE0972}" type="pres">
      <dgm:prSet presAssocID="{D0ADFD77-76CF-4F0D-BBB3-CFAC9946E829}" presName="dummy" presStyleCnt="0"/>
      <dgm:spPr/>
    </dgm:pt>
    <dgm:pt modelId="{869A4132-976A-412B-B233-A0B9911EF631}" type="pres">
      <dgm:prSet presAssocID="{D0ADFD77-76CF-4F0D-BBB3-CFAC9946E829}" presName="node" presStyleLbl="revTx" presStyleIdx="4" presStyleCnt="5">
        <dgm:presLayoutVars>
          <dgm:bulletEnabled val="1"/>
        </dgm:presLayoutVars>
      </dgm:prSet>
      <dgm:spPr/>
      <dgm:t>
        <a:bodyPr/>
        <a:lstStyle/>
        <a:p>
          <a:endParaRPr lang="en-IN"/>
        </a:p>
      </dgm:t>
    </dgm:pt>
    <dgm:pt modelId="{26799E04-179A-4224-9CF7-471904EBA212}" type="pres">
      <dgm:prSet presAssocID="{8127D7F1-579A-4AC4-AAAB-535AFE7CF999}" presName="sibTrans" presStyleLbl="node1" presStyleIdx="4" presStyleCnt="5"/>
      <dgm:spPr/>
      <dgm:t>
        <a:bodyPr/>
        <a:lstStyle/>
        <a:p>
          <a:endParaRPr lang="en-IN"/>
        </a:p>
      </dgm:t>
    </dgm:pt>
  </dgm:ptLst>
  <dgm:cxnLst>
    <dgm:cxn modelId="{5B5AE12D-DBC9-45AF-BDBA-DA01344FC312}" type="presOf" srcId="{85CFC01A-43BC-4298-B7AD-3E8C44A78BCD}" destId="{3EC68EE3-7C0F-4E71-AB31-FC182A58CAA0}" srcOrd="0" destOrd="0" presId="urn:microsoft.com/office/officeart/2005/8/layout/cycle1"/>
    <dgm:cxn modelId="{223686A0-9261-4DFC-80C5-15D985CF02D5}" type="presOf" srcId="{A98CC807-77EA-4AC0-8254-51454E890171}" destId="{1F055D8C-8DEA-43A0-BC10-AD21EF6F44C9}" srcOrd="0" destOrd="0" presId="urn:microsoft.com/office/officeart/2005/8/layout/cycle1"/>
    <dgm:cxn modelId="{C73D3B12-7AA5-48C8-B34B-A43345B17411}" type="presOf" srcId="{8127D7F1-579A-4AC4-AAAB-535AFE7CF999}" destId="{26799E04-179A-4224-9CF7-471904EBA212}" srcOrd="0" destOrd="0" presId="urn:microsoft.com/office/officeart/2005/8/layout/cycle1"/>
    <dgm:cxn modelId="{4F41E1C1-8AD1-46D0-99CD-41885D97E9B7}" type="presOf" srcId="{D0ADFD77-76CF-4F0D-BBB3-CFAC9946E829}" destId="{869A4132-976A-412B-B233-A0B9911EF631}" srcOrd="0" destOrd="0" presId="urn:microsoft.com/office/officeart/2005/8/layout/cycle1"/>
    <dgm:cxn modelId="{D6B661A3-D148-46C2-933F-BECF4B803465}" srcId="{26B70083-AC16-4DEE-8474-8C8F60740A8F}" destId="{85CFC01A-43BC-4298-B7AD-3E8C44A78BCD}" srcOrd="2" destOrd="0" parTransId="{3714BB5E-9C99-4735-B898-420FF510CA9B}" sibTransId="{82F096A1-3B26-4513-9293-154276E9FFFE}"/>
    <dgm:cxn modelId="{00B1CAE5-D588-42D7-AB79-C7E5AB4322EA}" type="presOf" srcId="{583CB8DC-6832-4BAD-8FF6-17CE13488A4C}" destId="{713BFF90-AE34-4E7B-8884-6F08A605CAD8}" srcOrd="0" destOrd="0" presId="urn:microsoft.com/office/officeart/2005/8/layout/cycle1"/>
    <dgm:cxn modelId="{4660E9E7-26F0-4E06-9C26-12E24E468974}" type="presOf" srcId="{A6F19144-8A90-4326-AB5D-2DC58B073E34}" destId="{191A62E1-3621-4E50-BDFD-406D15C70C9F}" srcOrd="0" destOrd="0" presId="urn:microsoft.com/office/officeart/2005/8/layout/cycle1"/>
    <dgm:cxn modelId="{5AAEFB4C-A7E9-4FBC-91C7-43FC96AEC446}" srcId="{26B70083-AC16-4DEE-8474-8C8F60740A8F}" destId="{8596DC26-2025-41BF-8D4A-B7075EB60371}" srcOrd="1" destOrd="0" parTransId="{AFF0771F-EA59-48E0-AA9D-4F9A5835D710}" sibTransId="{A98CC807-77EA-4AC0-8254-51454E890171}"/>
    <dgm:cxn modelId="{B4B74CC3-82A2-4503-BACC-CE8F22C4AEAE}" srcId="{26B70083-AC16-4DEE-8474-8C8F60740A8F}" destId="{D0ADFD77-76CF-4F0D-BBB3-CFAC9946E829}" srcOrd="4" destOrd="0" parTransId="{70CED04B-30CF-4686-88AB-CA9CB2DBD0EE}" sibTransId="{8127D7F1-579A-4AC4-AAAB-535AFE7CF999}"/>
    <dgm:cxn modelId="{D42B5BB6-F702-434C-9BE1-D98291EEF664}" type="presOf" srcId="{23C33659-424D-48A9-8009-7F5FECE68152}" destId="{4E0D402E-EC7C-4038-B79C-4990F5C61327}" srcOrd="0" destOrd="0" presId="urn:microsoft.com/office/officeart/2005/8/layout/cycle1"/>
    <dgm:cxn modelId="{4A677433-16D8-498D-A5B6-69A007EDE5B0}" srcId="{26B70083-AC16-4DEE-8474-8C8F60740A8F}" destId="{C03E01A4-2D7E-465C-9247-DB54ADEE59FF}" srcOrd="0" destOrd="0" parTransId="{E0B9D10F-427C-4C7C-9F47-61C6ED5DCB9C}" sibTransId="{23C33659-424D-48A9-8009-7F5FECE68152}"/>
    <dgm:cxn modelId="{01EA1961-682D-43D3-8604-D2247B830A79}" type="presOf" srcId="{82F096A1-3B26-4513-9293-154276E9FFFE}" destId="{0FEB7FB1-1267-4C60-9CD5-BD3BEB450BEA}" srcOrd="0" destOrd="0" presId="urn:microsoft.com/office/officeart/2005/8/layout/cycle1"/>
    <dgm:cxn modelId="{ED98640F-6430-47AD-8DA0-13CCDCED36B8}" type="presOf" srcId="{26B70083-AC16-4DEE-8474-8C8F60740A8F}" destId="{E14E353B-2606-4196-B79A-AEDA0B9324D9}" srcOrd="0" destOrd="0" presId="urn:microsoft.com/office/officeart/2005/8/layout/cycle1"/>
    <dgm:cxn modelId="{D75BE1CC-1623-4D98-882C-BC77BB69566F}" type="presOf" srcId="{8596DC26-2025-41BF-8D4A-B7075EB60371}" destId="{40E3598B-176D-4F8D-8C07-2C38E2AE2CB4}" srcOrd="0" destOrd="0" presId="urn:microsoft.com/office/officeart/2005/8/layout/cycle1"/>
    <dgm:cxn modelId="{D20FCEAD-35C4-44E6-934A-EE43A1102A7B}" srcId="{26B70083-AC16-4DEE-8474-8C8F60740A8F}" destId="{583CB8DC-6832-4BAD-8FF6-17CE13488A4C}" srcOrd="3" destOrd="0" parTransId="{D355E05B-A860-4B52-ADB7-A89A13B4A7C6}" sibTransId="{A6F19144-8A90-4326-AB5D-2DC58B073E34}"/>
    <dgm:cxn modelId="{947878CB-607F-419D-AF69-F01C3426FB59}" type="presOf" srcId="{C03E01A4-2D7E-465C-9247-DB54ADEE59FF}" destId="{12FE62AF-4542-4F05-A900-3B21CE164E77}" srcOrd="0" destOrd="0" presId="urn:microsoft.com/office/officeart/2005/8/layout/cycle1"/>
    <dgm:cxn modelId="{8E157F0A-03D7-4B20-913F-68BFEBF810BC}" type="presParOf" srcId="{E14E353B-2606-4196-B79A-AEDA0B9324D9}" destId="{D35BD18D-719F-475C-8267-013DA6491576}" srcOrd="0" destOrd="0" presId="urn:microsoft.com/office/officeart/2005/8/layout/cycle1"/>
    <dgm:cxn modelId="{1BF1691A-802E-4AAD-81EC-EB76D5DC6553}" type="presParOf" srcId="{E14E353B-2606-4196-B79A-AEDA0B9324D9}" destId="{12FE62AF-4542-4F05-A900-3B21CE164E77}" srcOrd="1" destOrd="0" presId="urn:microsoft.com/office/officeart/2005/8/layout/cycle1"/>
    <dgm:cxn modelId="{973B8117-6BE0-4DCA-AC7A-A1AE63CBCD43}" type="presParOf" srcId="{E14E353B-2606-4196-B79A-AEDA0B9324D9}" destId="{4E0D402E-EC7C-4038-B79C-4990F5C61327}" srcOrd="2" destOrd="0" presId="urn:microsoft.com/office/officeart/2005/8/layout/cycle1"/>
    <dgm:cxn modelId="{2933332B-CCC4-4153-9322-CB2F41878805}" type="presParOf" srcId="{E14E353B-2606-4196-B79A-AEDA0B9324D9}" destId="{9BEEAE04-378F-40ED-AC72-06082A4642B3}" srcOrd="3" destOrd="0" presId="urn:microsoft.com/office/officeart/2005/8/layout/cycle1"/>
    <dgm:cxn modelId="{3517C9A9-572D-40E9-8D84-AAA22EC318A9}" type="presParOf" srcId="{E14E353B-2606-4196-B79A-AEDA0B9324D9}" destId="{40E3598B-176D-4F8D-8C07-2C38E2AE2CB4}" srcOrd="4" destOrd="0" presId="urn:microsoft.com/office/officeart/2005/8/layout/cycle1"/>
    <dgm:cxn modelId="{BAF7EE62-2437-4EE8-954D-8EF980B6C70B}" type="presParOf" srcId="{E14E353B-2606-4196-B79A-AEDA0B9324D9}" destId="{1F055D8C-8DEA-43A0-BC10-AD21EF6F44C9}" srcOrd="5" destOrd="0" presId="urn:microsoft.com/office/officeart/2005/8/layout/cycle1"/>
    <dgm:cxn modelId="{88DC8CF0-7111-4F56-BF27-966A710D5160}" type="presParOf" srcId="{E14E353B-2606-4196-B79A-AEDA0B9324D9}" destId="{61813439-7E40-4316-9053-6969AA095A7E}" srcOrd="6" destOrd="0" presId="urn:microsoft.com/office/officeart/2005/8/layout/cycle1"/>
    <dgm:cxn modelId="{123464F0-F618-43BA-906E-B3B863AE1BAD}" type="presParOf" srcId="{E14E353B-2606-4196-B79A-AEDA0B9324D9}" destId="{3EC68EE3-7C0F-4E71-AB31-FC182A58CAA0}" srcOrd="7" destOrd="0" presId="urn:microsoft.com/office/officeart/2005/8/layout/cycle1"/>
    <dgm:cxn modelId="{328C9D79-19A1-426C-99F2-02DD2A03A00F}" type="presParOf" srcId="{E14E353B-2606-4196-B79A-AEDA0B9324D9}" destId="{0FEB7FB1-1267-4C60-9CD5-BD3BEB450BEA}" srcOrd="8" destOrd="0" presId="urn:microsoft.com/office/officeart/2005/8/layout/cycle1"/>
    <dgm:cxn modelId="{1DE2E05F-AFE0-4AEB-B2DF-06A89627C6DD}" type="presParOf" srcId="{E14E353B-2606-4196-B79A-AEDA0B9324D9}" destId="{691C19B2-1FE5-4D13-8D08-1E2BB5168D23}" srcOrd="9" destOrd="0" presId="urn:microsoft.com/office/officeart/2005/8/layout/cycle1"/>
    <dgm:cxn modelId="{31E4139F-F6F7-4ABA-81CF-0236230D01BC}" type="presParOf" srcId="{E14E353B-2606-4196-B79A-AEDA0B9324D9}" destId="{713BFF90-AE34-4E7B-8884-6F08A605CAD8}" srcOrd="10" destOrd="0" presId="urn:microsoft.com/office/officeart/2005/8/layout/cycle1"/>
    <dgm:cxn modelId="{12D4FBEE-8D79-4914-A8BB-0421FCE05648}" type="presParOf" srcId="{E14E353B-2606-4196-B79A-AEDA0B9324D9}" destId="{191A62E1-3621-4E50-BDFD-406D15C70C9F}" srcOrd="11" destOrd="0" presId="urn:microsoft.com/office/officeart/2005/8/layout/cycle1"/>
    <dgm:cxn modelId="{2C0EC15E-FBF7-4E21-A9AD-266F61DDF238}" type="presParOf" srcId="{E14E353B-2606-4196-B79A-AEDA0B9324D9}" destId="{7A456421-CCCA-460D-990E-CBC1C2DE0972}" srcOrd="12" destOrd="0" presId="urn:microsoft.com/office/officeart/2005/8/layout/cycle1"/>
    <dgm:cxn modelId="{2AA7B977-A78E-4779-950B-6E88D9672FBB}" type="presParOf" srcId="{E14E353B-2606-4196-B79A-AEDA0B9324D9}" destId="{869A4132-976A-412B-B233-A0B9911EF631}" srcOrd="13" destOrd="0" presId="urn:microsoft.com/office/officeart/2005/8/layout/cycle1"/>
    <dgm:cxn modelId="{F5C1E23D-D58A-43F3-8F6C-33679C210957}" type="presParOf" srcId="{E14E353B-2606-4196-B79A-AEDA0B9324D9}" destId="{26799E04-179A-4224-9CF7-471904EBA212}" srcOrd="14" destOrd="0" presId="urn:microsoft.com/office/officeart/2005/8/layout/cycle1"/>
  </dgm:cxnLst>
  <dgm:bg/>
  <dgm:whole/>
  <dgm:extLst>
    <a:ext uri="http://schemas.microsoft.com/office/drawing/2008/diagram">
      <dsp:dataModelExt xmlns:dsp="http://schemas.microsoft.com/office/drawing/2008/diagram" relId="rId6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82FD46B6-66F4-4EB2-A1A0-F464EE55C6C6}" type="doc">
      <dgm:prSet loTypeId="urn:microsoft.com/office/officeart/2005/8/layout/orgChart1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IN"/>
        </a:p>
      </dgm:t>
    </dgm:pt>
    <dgm:pt modelId="{8BF0B6C9-ED01-4838-B4D0-A1D5A6D33020}">
      <dgm:prSet phldrT="[Text]"/>
      <dgm:spPr/>
      <dgm:t>
        <a:bodyPr/>
        <a:lstStyle/>
        <a:p>
          <a:r>
            <a:rPr lang="en-IN"/>
            <a:t>1</a:t>
          </a:r>
        </a:p>
      </dgm:t>
    </dgm:pt>
    <dgm:pt modelId="{C378E11D-D016-429F-A751-17A923615CCB}" type="parTrans" cxnId="{A9DCCA39-90AC-4F26-BC83-E83EFF8F2CF8}">
      <dgm:prSet/>
      <dgm:spPr/>
      <dgm:t>
        <a:bodyPr/>
        <a:lstStyle/>
        <a:p>
          <a:endParaRPr lang="en-IN"/>
        </a:p>
      </dgm:t>
    </dgm:pt>
    <dgm:pt modelId="{8437F98E-F13A-4953-A12C-EC04C59BE5B6}" type="sibTrans" cxnId="{A9DCCA39-90AC-4F26-BC83-E83EFF8F2CF8}">
      <dgm:prSet/>
      <dgm:spPr/>
      <dgm:t>
        <a:bodyPr/>
        <a:lstStyle/>
        <a:p>
          <a:endParaRPr lang="en-IN"/>
        </a:p>
      </dgm:t>
    </dgm:pt>
    <dgm:pt modelId="{F1AF8E1E-C9F6-4C59-8F76-08952DAC2665}" type="asst">
      <dgm:prSet phldrT="[Text]"/>
      <dgm:spPr/>
      <dgm:t>
        <a:bodyPr/>
        <a:lstStyle/>
        <a:p>
          <a:r>
            <a:rPr lang="en-IN"/>
            <a:t>2</a:t>
          </a:r>
        </a:p>
      </dgm:t>
    </dgm:pt>
    <dgm:pt modelId="{38CD05D3-7678-4F66-AC29-64FEB6A5096B}" type="parTrans" cxnId="{8E530A41-08A4-461D-9F1D-C59F6B491206}">
      <dgm:prSet/>
      <dgm:spPr/>
      <dgm:t>
        <a:bodyPr/>
        <a:lstStyle/>
        <a:p>
          <a:endParaRPr lang="en-IN"/>
        </a:p>
      </dgm:t>
    </dgm:pt>
    <dgm:pt modelId="{3CEFA12B-6E2D-43FA-8FAE-824B6B43F0E6}" type="sibTrans" cxnId="{8E530A41-08A4-461D-9F1D-C59F6B491206}">
      <dgm:prSet/>
      <dgm:spPr/>
      <dgm:t>
        <a:bodyPr/>
        <a:lstStyle/>
        <a:p>
          <a:endParaRPr lang="en-IN"/>
        </a:p>
      </dgm:t>
    </dgm:pt>
    <dgm:pt modelId="{F018B721-1884-439B-B687-8D08DCA52066}">
      <dgm:prSet phldrT="[Text]"/>
      <dgm:spPr/>
      <dgm:t>
        <a:bodyPr/>
        <a:lstStyle/>
        <a:p>
          <a:r>
            <a:rPr lang="en-IN"/>
            <a:t>3</a:t>
          </a:r>
        </a:p>
      </dgm:t>
    </dgm:pt>
    <dgm:pt modelId="{71F49599-4437-4AAD-8624-F9AA7EBEB444}" type="parTrans" cxnId="{7F45D429-4507-48E8-AF42-67A7D2183DE9}">
      <dgm:prSet/>
      <dgm:spPr/>
      <dgm:t>
        <a:bodyPr/>
        <a:lstStyle/>
        <a:p>
          <a:endParaRPr lang="en-IN"/>
        </a:p>
      </dgm:t>
    </dgm:pt>
    <dgm:pt modelId="{88DB84C8-5D16-43AD-8CE3-0C231B7B2951}" type="sibTrans" cxnId="{7F45D429-4507-48E8-AF42-67A7D2183DE9}">
      <dgm:prSet/>
      <dgm:spPr/>
      <dgm:t>
        <a:bodyPr/>
        <a:lstStyle/>
        <a:p>
          <a:endParaRPr lang="en-IN"/>
        </a:p>
      </dgm:t>
    </dgm:pt>
    <dgm:pt modelId="{5DB0A58E-7A1A-4A12-9222-0A2B51F1BC45}">
      <dgm:prSet phldrT="[Text]"/>
      <dgm:spPr/>
      <dgm:t>
        <a:bodyPr/>
        <a:lstStyle/>
        <a:p>
          <a:r>
            <a:rPr lang="en-IN"/>
            <a:t>3</a:t>
          </a:r>
        </a:p>
      </dgm:t>
    </dgm:pt>
    <dgm:pt modelId="{2D90FB00-D1D5-4C83-B47B-1EB4C89E31CF}" type="parTrans" cxnId="{54462A6C-3044-4966-9F42-3113FD5AB5C8}">
      <dgm:prSet/>
      <dgm:spPr/>
      <dgm:t>
        <a:bodyPr/>
        <a:lstStyle/>
        <a:p>
          <a:endParaRPr lang="en-IN"/>
        </a:p>
      </dgm:t>
    </dgm:pt>
    <dgm:pt modelId="{14F4665E-C4A0-4B58-B2AB-5DFB9427EB55}" type="sibTrans" cxnId="{54462A6C-3044-4966-9F42-3113FD5AB5C8}">
      <dgm:prSet/>
      <dgm:spPr/>
      <dgm:t>
        <a:bodyPr/>
        <a:lstStyle/>
        <a:p>
          <a:endParaRPr lang="en-IN"/>
        </a:p>
      </dgm:t>
    </dgm:pt>
    <dgm:pt modelId="{62E4241C-2124-48F4-9DCB-4D296A3A0EDC}">
      <dgm:prSet phldrT="[Text]"/>
      <dgm:spPr/>
      <dgm:t>
        <a:bodyPr/>
        <a:lstStyle/>
        <a:p>
          <a:r>
            <a:rPr lang="en-IN"/>
            <a:t>3</a:t>
          </a:r>
        </a:p>
      </dgm:t>
    </dgm:pt>
    <dgm:pt modelId="{877DE1EF-FA8E-4407-B5A1-968E1CE45E09}" type="parTrans" cxnId="{520B7D2F-1E27-48EA-ABDF-52FC033A2B27}">
      <dgm:prSet/>
      <dgm:spPr/>
      <dgm:t>
        <a:bodyPr/>
        <a:lstStyle/>
        <a:p>
          <a:endParaRPr lang="en-IN"/>
        </a:p>
      </dgm:t>
    </dgm:pt>
    <dgm:pt modelId="{01EA1DB5-252D-4319-83DE-335A6E778800}" type="sibTrans" cxnId="{520B7D2F-1E27-48EA-ABDF-52FC033A2B27}">
      <dgm:prSet/>
      <dgm:spPr/>
      <dgm:t>
        <a:bodyPr/>
        <a:lstStyle/>
        <a:p>
          <a:endParaRPr lang="en-IN"/>
        </a:p>
      </dgm:t>
    </dgm:pt>
    <dgm:pt modelId="{90CDFB23-38A5-4284-9C6D-22B0F6881D72}">
      <dgm:prSet phldrT="[Text]"/>
      <dgm:spPr/>
      <dgm:t>
        <a:bodyPr/>
        <a:lstStyle/>
        <a:p>
          <a:r>
            <a:rPr lang="en-IN"/>
            <a:t>1</a:t>
          </a:r>
        </a:p>
      </dgm:t>
    </dgm:pt>
    <dgm:pt modelId="{E678394C-1974-494E-8E21-81D1E957E77F}" type="parTrans" cxnId="{9A1D82B1-2041-43CC-A2BC-2DB4D0FF0743}">
      <dgm:prSet/>
      <dgm:spPr/>
      <dgm:t>
        <a:bodyPr/>
        <a:lstStyle/>
        <a:p>
          <a:endParaRPr lang="en-IN"/>
        </a:p>
      </dgm:t>
    </dgm:pt>
    <dgm:pt modelId="{B37BC3D3-D1C1-46F8-A6BF-DD7BCD740476}" type="sibTrans" cxnId="{9A1D82B1-2041-43CC-A2BC-2DB4D0FF0743}">
      <dgm:prSet/>
      <dgm:spPr/>
      <dgm:t>
        <a:bodyPr/>
        <a:lstStyle/>
        <a:p>
          <a:endParaRPr lang="en-IN"/>
        </a:p>
      </dgm:t>
    </dgm:pt>
    <dgm:pt modelId="{DE28BCB9-D22E-4108-89CD-5D2DDA1F3858}" type="asst">
      <dgm:prSet phldrT="[Text]"/>
      <dgm:spPr/>
      <dgm:t>
        <a:bodyPr/>
        <a:lstStyle/>
        <a:p>
          <a:r>
            <a:rPr lang="en-IN"/>
            <a:t>2</a:t>
          </a:r>
        </a:p>
      </dgm:t>
    </dgm:pt>
    <dgm:pt modelId="{A01C5F43-C6DF-4FCB-B0AB-A6108CDA614D}" type="parTrans" cxnId="{19CD7E14-7F50-43F3-803D-14D4691583F7}">
      <dgm:prSet/>
      <dgm:spPr/>
      <dgm:t>
        <a:bodyPr/>
        <a:lstStyle/>
        <a:p>
          <a:endParaRPr lang="en-IN"/>
        </a:p>
      </dgm:t>
    </dgm:pt>
    <dgm:pt modelId="{3BAC9A1D-E890-4F44-A646-CC25A80F4FB1}" type="sibTrans" cxnId="{19CD7E14-7F50-43F3-803D-14D4691583F7}">
      <dgm:prSet/>
      <dgm:spPr/>
      <dgm:t>
        <a:bodyPr/>
        <a:lstStyle/>
        <a:p>
          <a:endParaRPr lang="en-IN"/>
        </a:p>
      </dgm:t>
    </dgm:pt>
    <dgm:pt modelId="{88E8685F-9D50-4D91-A799-F2D26D77B520}" type="pres">
      <dgm:prSet presAssocID="{82FD46B6-66F4-4EB2-A1A0-F464EE55C6C6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  <dgm:t>
        <a:bodyPr/>
        <a:lstStyle/>
        <a:p>
          <a:endParaRPr lang="en-IN"/>
        </a:p>
      </dgm:t>
    </dgm:pt>
    <dgm:pt modelId="{88EAF874-0207-47E2-B6C7-E08F8433DBDD}" type="pres">
      <dgm:prSet presAssocID="{8BF0B6C9-ED01-4838-B4D0-A1D5A6D33020}" presName="hierRoot1" presStyleCnt="0">
        <dgm:presLayoutVars>
          <dgm:hierBranch val="init"/>
        </dgm:presLayoutVars>
      </dgm:prSet>
      <dgm:spPr/>
    </dgm:pt>
    <dgm:pt modelId="{7AC1D942-F158-4E9B-92FC-CDE4291D9A33}" type="pres">
      <dgm:prSet presAssocID="{8BF0B6C9-ED01-4838-B4D0-A1D5A6D33020}" presName="rootComposite1" presStyleCnt="0"/>
      <dgm:spPr/>
    </dgm:pt>
    <dgm:pt modelId="{9832005D-7804-4BC5-B476-82A49514ED1C}" type="pres">
      <dgm:prSet presAssocID="{8BF0B6C9-ED01-4838-B4D0-A1D5A6D33020}" presName="rootText1" presStyleLbl="node0" presStyleIdx="0" presStyleCnt="2">
        <dgm:presLayoutVars>
          <dgm:chPref val="3"/>
        </dgm:presLayoutVars>
      </dgm:prSet>
      <dgm:spPr/>
      <dgm:t>
        <a:bodyPr/>
        <a:lstStyle/>
        <a:p>
          <a:endParaRPr lang="en-IN"/>
        </a:p>
      </dgm:t>
    </dgm:pt>
    <dgm:pt modelId="{C22C96A5-23D6-468D-8700-377A87ED0D96}" type="pres">
      <dgm:prSet presAssocID="{8BF0B6C9-ED01-4838-B4D0-A1D5A6D33020}" presName="rootConnector1" presStyleLbl="node1" presStyleIdx="0" presStyleCnt="0"/>
      <dgm:spPr/>
      <dgm:t>
        <a:bodyPr/>
        <a:lstStyle/>
        <a:p>
          <a:endParaRPr lang="en-IN"/>
        </a:p>
      </dgm:t>
    </dgm:pt>
    <dgm:pt modelId="{7FC43DF1-C3F5-4CF7-B283-98E94DBD56F8}" type="pres">
      <dgm:prSet presAssocID="{8BF0B6C9-ED01-4838-B4D0-A1D5A6D33020}" presName="hierChild2" presStyleCnt="0"/>
      <dgm:spPr/>
    </dgm:pt>
    <dgm:pt modelId="{A49C5CAB-AB33-4E54-94E7-0935ADA51A5A}" type="pres">
      <dgm:prSet presAssocID="{8BF0B6C9-ED01-4838-B4D0-A1D5A6D33020}" presName="hierChild3" presStyleCnt="0"/>
      <dgm:spPr/>
    </dgm:pt>
    <dgm:pt modelId="{7AA968B8-6A7B-42BA-9DAC-4AEBE8A0CF54}" type="pres">
      <dgm:prSet presAssocID="{90CDFB23-38A5-4284-9C6D-22B0F6881D72}" presName="hierRoot1" presStyleCnt="0">
        <dgm:presLayoutVars>
          <dgm:hierBranch val="init"/>
        </dgm:presLayoutVars>
      </dgm:prSet>
      <dgm:spPr/>
    </dgm:pt>
    <dgm:pt modelId="{35D8870E-BFC2-4870-99D2-1130D3AE5063}" type="pres">
      <dgm:prSet presAssocID="{90CDFB23-38A5-4284-9C6D-22B0F6881D72}" presName="rootComposite1" presStyleCnt="0"/>
      <dgm:spPr/>
    </dgm:pt>
    <dgm:pt modelId="{4A897C2E-7B59-4BB8-9B0A-E26306056184}" type="pres">
      <dgm:prSet presAssocID="{90CDFB23-38A5-4284-9C6D-22B0F6881D72}" presName="rootText1" presStyleLbl="node0" presStyleIdx="1" presStyleCnt="2">
        <dgm:presLayoutVars>
          <dgm:chPref val="3"/>
        </dgm:presLayoutVars>
      </dgm:prSet>
      <dgm:spPr/>
      <dgm:t>
        <a:bodyPr/>
        <a:lstStyle/>
        <a:p>
          <a:endParaRPr lang="en-IN"/>
        </a:p>
      </dgm:t>
    </dgm:pt>
    <dgm:pt modelId="{CA825498-E9B3-4D06-8214-F91BAAC38154}" type="pres">
      <dgm:prSet presAssocID="{90CDFB23-38A5-4284-9C6D-22B0F6881D72}" presName="rootConnector1" presStyleLbl="node1" presStyleIdx="0" presStyleCnt="0"/>
      <dgm:spPr/>
      <dgm:t>
        <a:bodyPr/>
        <a:lstStyle/>
        <a:p>
          <a:endParaRPr lang="en-IN"/>
        </a:p>
      </dgm:t>
    </dgm:pt>
    <dgm:pt modelId="{5045651E-3F75-49A3-990C-9D97E3DC42EF}" type="pres">
      <dgm:prSet presAssocID="{90CDFB23-38A5-4284-9C6D-22B0F6881D72}" presName="hierChild2" presStyleCnt="0"/>
      <dgm:spPr/>
    </dgm:pt>
    <dgm:pt modelId="{A3AEC619-9D7A-483E-81C8-EBDC58A7B3C9}" type="pres">
      <dgm:prSet presAssocID="{71F49599-4437-4AAD-8624-F9AA7EBEB444}" presName="Name37" presStyleLbl="parChTrans1D2" presStyleIdx="0" presStyleCnt="5"/>
      <dgm:spPr/>
      <dgm:t>
        <a:bodyPr/>
        <a:lstStyle/>
        <a:p>
          <a:endParaRPr lang="en-IN"/>
        </a:p>
      </dgm:t>
    </dgm:pt>
    <dgm:pt modelId="{E0DF9AF4-F1AD-4B74-8250-2368A5D5FD63}" type="pres">
      <dgm:prSet presAssocID="{F018B721-1884-439B-B687-8D08DCA52066}" presName="hierRoot2" presStyleCnt="0">
        <dgm:presLayoutVars>
          <dgm:hierBranch val="init"/>
        </dgm:presLayoutVars>
      </dgm:prSet>
      <dgm:spPr/>
    </dgm:pt>
    <dgm:pt modelId="{E0F3E54F-5E57-4CC5-9424-F30F0C356638}" type="pres">
      <dgm:prSet presAssocID="{F018B721-1884-439B-B687-8D08DCA52066}" presName="rootComposite" presStyleCnt="0"/>
      <dgm:spPr/>
    </dgm:pt>
    <dgm:pt modelId="{9D025C24-60D8-4759-B84C-002A0775A6E8}" type="pres">
      <dgm:prSet presAssocID="{F018B721-1884-439B-B687-8D08DCA52066}" presName="rootText" presStyleLbl="node2" presStyleIdx="0" presStyleCnt="3">
        <dgm:presLayoutVars>
          <dgm:chPref val="3"/>
        </dgm:presLayoutVars>
      </dgm:prSet>
      <dgm:spPr/>
      <dgm:t>
        <a:bodyPr/>
        <a:lstStyle/>
        <a:p>
          <a:endParaRPr lang="en-IN"/>
        </a:p>
      </dgm:t>
    </dgm:pt>
    <dgm:pt modelId="{58894D82-D0D8-4C15-98C3-A8897BF6689F}" type="pres">
      <dgm:prSet presAssocID="{F018B721-1884-439B-B687-8D08DCA52066}" presName="rootConnector" presStyleLbl="node2" presStyleIdx="0" presStyleCnt="3"/>
      <dgm:spPr/>
      <dgm:t>
        <a:bodyPr/>
        <a:lstStyle/>
        <a:p>
          <a:endParaRPr lang="en-IN"/>
        </a:p>
      </dgm:t>
    </dgm:pt>
    <dgm:pt modelId="{793199DE-263B-420D-B2C8-506E43ED9D88}" type="pres">
      <dgm:prSet presAssocID="{F018B721-1884-439B-B687-8D08DCA52066}" presName="hierChild4" presStyleCnt="0"/>
      <dgm:spPr/>
    </dgm:pt>
    <dgm:pt modelId="{C5FFC1E1-BF66-4C96-93AA-6209879E8C3A}" type="pres">
      <dgm:prSet presAssocID="{F018B721-1884-439B-B687-8D08DCA52066}" presName="hierChild5" presStyleCnt="0"/>
      <dgm:spPr/>
    </dgm:pt>
    <dgm:pt modelId="{7DF3C290-491F-4016-A7AA-0C6966E66061}" type="pres">
      <dgm:prSet presAssocID="{2D90FB00-D1D5-4C83-B47B-1EB4C89E31CF}" presName="Name37" presStyleLbl="parChTrans1D2" presStyleIdx="1" presStyleCnt="5"/>
      <dgm:spPr/>
      <dgm:t>
        <a:bodyPr/>
        <a:lstStyle/>
        <a:p>
          <a:endParaRPr lang="en-IN"/>
        </a:p>
      </dgm:t>
    </dgm:pt>
    <dgm:pt modelId="{D822AD12-3CCF-40FB-8E01-06E58C19CC8F}" type="pres">
      <dgm:prSet presAssocID="{5DB0A58E-7A1A-4A12-9222-0A2B51F1BC45}" presName="hierRoot2" presStyleCnt="0">
        <dgm:presLayoutVars>
          <dgm:hierBranch val="init"/>
        </dgm:presLayoutVars>
      </dgm:prSet>
      <dgm:spPr/>
    </dgm:pt>
    <dgm:pt modelId="{F4A4904F-65B8-457B-8CB6-6A5C05A659FB}" type="pres">
      <dgm:prSet presAssocID="{5DB0A58E-7A1A-4A12-9222-0A2B51F1BC45}" presName="rootComposite" presStyleCnt="0"/>
      <dgm:spPr/>
    </dgm:pt>
    <dgm:pt modelId="{67B4B728-08B4-40BB-8179-C105E5F39663}" type="pres">
      <dgm:prSet presAssocID="{5DB0A58E-7A1A-4A12-9222-0A2B51F1BC45}" presName="rootText" presStyleLbl="node2" presStyleIdx="1" presStyleCnt="3">
        <dgm:presLayoutVars>
          <dgm:chPref val="3"/>
        </dgm:presLayoutVars>
      </dgm:prSet>
      <dgm:spPr/>
      <dgm:t>
        <a:bodyPr/>
        <a:lstStyle/>
        <a:p>
          <a:endParaRPr lang="en-IN"/>
        </a:p>
      </dgm:t>
    </dgm:pt>
    <dgm:pt modelId="{8E7F8358-77A2-42BF-B16D-0362CB5B0432}" type="pres">
      <dgm:prSet presAssocID="{5DB0A58E-7A1A-4A12-9222-0A2B51F1BC45}" presName="rootConnector" presStyleLbl="node2" presStyleIdx="1" presStyleCnt="3"/>
      <dgm:spPr/>
      <dgm:t>
        <a:bodyPr/>
        <a:lstStyle/>
        <a:p>
          <a:endParaRPr lang="en-IN"/>
        </a:p>
      </dgm:t>
    </dgm:pt>
    <dgm:pt modelId="{C34A20E0-919C-4556-8359-129377C2A175}" type="pres">
      <dgm:prSet presAssocID="{5DB0A58E-7A1A-4A12-9222-0A2B51F1BC45}" presName="hierChild4" presStyleCnt="0"/>
      <dgm:spPr/>
    </dgm:pt>
    <dgm:pt modelId="{2A9DF53F-C3E8-480F-8BDA-EEE4AB87A7C6}" type="pres">
      <dgm:prSet presAssocID="{5DB0A58E-7A1A-4A12-9222-0A2B51F1BC45}" presName="hierChild5" presStyleCnt="0"/>
      <dgm:spPr/>
    </dgm:pt>
    <dgm:pt modelId="{61703D7C-3CDF-4F79-9476-14FE59F3800C}" type="pres">
      <dgm:prSet presAssocID="{877DE1EF-FA8E-4407-B5A1-968E1CE45E09}" presName="Name37" presStyleLbl="parChTrans1D2" presStyleIdx="2" presStyleCnt="5"/>
      <dgm:spPr/>
      <dgm:t>
        <a:bodyPr/>
        <a:lstStyle/>
        <a:p>
          <a:endParaRPr lang="en-IN"/>
        </a:p>
      </dgm:t>
    </dgm:pt>
    <dgm:pt modelId="{700EA511-5E98-4034-85B2-7BAEA5B4DC83}" type="pres">
      <dgm:prSet presAssocID="{62E4241C-2124-48F4-9DCB-4D296A3A0EDC}" presName="hierRoot2" presStyleCnt="0">
        <dgm:presLayoutVars>
          <dgm:hierBranch val="init"/>
        </dgm:presLayoutVars>
      </dgm:prSet>
      <dgm:spPr/>
    </dgm:pt>
    <dgm:pt modelId="{8623F5CD-7C14-446F-B07E-CF039EA2C704}" type="pres">
      <dgm:prSet presAssocID="{62E4241C-2124-48F4-9DCB-4D296A3A0EDC}" presName="rootComposite" presStyleCnt="0"/>
      <dgm:spPr/>
    </dgm:pt>
    <dgm:pt modelId="{C8C43DBE-B354-466D-B7BB-378FCC44F189}" type="pres">
      <dgm:prSet presAssocID="{62E4241C-2124-48F4-9DCB-4D296A3A0EDC}" presName="rootText" presStyleLbl="node2" presStyleIdx="2" presStyleCnt="3" custLinFactNeighborX="13804" custLinFactNeighborY="-15776">
        <dgm:presLayoutVars>
          <dgm:chPref val="3"/>
        </dgm:presLayoutVars>
      </dgm:prSet>
      <dgm:spPr/>
      <dgm:t>
        <a:bodyPr/>
        <a:lstStyle/>
        <a:p>
          <a:endParaRPr lang="en-IN"/>
        </a:p>
      </dgm:t>
    </dgm:pt>
    <dgm:pt modelId="{C1411277-0C66-4758-A34D-DA7417873E3A}" type="pres">
      <dgm:prSet presAssocID="{62E4241C-2124-48F4-9DCB-4D296A3A0EDC}" presName="rootConnector" presStyleLbl="node2" presStyleIdx="2" presStyleCnt="3"/>
      <dgm:spPr/>
      <dgm:t>
        <a:bodyPr/>
        <a:lstStyle/>
        <a:p>
          <a:endParaRPr lang="en-IN"/>
        </a:p>
      </dgm:t>
    </dgm:pt>
    <dgm:pt modelId="{945A65B6-B672-4258-B66F-23B7B1D2B21D}" type="pres">
      <dgm:prSet presAssocID="{62E4241C-2124-48F4-9DCB-4D296A3A0EDC}" presName="hierChild4" presStyleCnt="0"/>
      <dgm:spPr/>
    </dgm:pt>
    <dgm:pt modelId="{3C3BBE67-D201-4306-8EA2-286178D8D27B}" type="pres">
      <dgm:prSet presAssocID="{62E4241C-2124-48F4-9DCB-4D296A3A0EDC}" presName="hierChild5" presStyleCnt="0"/>
      <dgm:spPr/>
    </dgm:pt>
    <dgm:pt modelId="{77AB2679-4F40-49EC-8F99-F018453424A6}" type="pres">
      <dgm:prSet presAssocID="{90CDFB23-38A5-4284-9C6D-22B0F6881D72}" presName="hierChild3" presStyleCnt="0"/>
      <dgm:spPr/>
    </dgm:pt>
    <dgm:pt modelId="{2EC13BA0-B0D5-4608-A5BE-3969DBDDEB63}" type="pres">
      <dgm:prSet presAssocID="{38CD05D3-7678-4F66-AC29-64FEB6A5096B}" presName="Name111" presStyleLbl="parChTrans1D2" presStyleIdx="3" presStyleCnt="5"/>
      <dgm:spPr/>
      <dgm:t>
        <a:bodyPr/>
        <a:lstStyle/>
        <a:p>
          <a:endParaRPr lang="en-IN"/>
        </a:p>
      </dgm:t>
    </dgm:pt>
    <dgm:pt modelId="{0C1E28B8-08BB-4019-9C79-DFB683CE9662}" type="pres">
      <dgm:prSet presAssocID="{F1AF8E1E-C9F6-4C59-8F76-08952DAC2665}" presName="hierRoot3" presStyleCnt="0">
        <dgm:presLayoutVars>
          <dgm:hierBranch val="init"/>
        </dgm:presLayoutVars>
      </dgm:prSet>
      <dgm:spPr/>
    </dgm:pt>
    <dgm:pt modelId="{53002A5E-BDBA-4DC2-A827-3EFD899F5833}" type="pres">
      <dgm:prSet presAssocID="{F1AF8E1E-C9F6-4C59-8F76-08952DAC2665}" presName="rootComposite3" presStyleCnt="0"/>
      <dgm:spPr/>
    </dgm:pt>
    <dgm:pt modelId="{B8342A02-4181-4CD2-95A3-4814F42ED636}" type="pres">
      <dgm:prSet presAssocID="{F1AF8E1E-C9F6-4C59-8F76-08952DAC2665}" presName="rootText3" presStyleLbl="asst1" presStyleIdx="0" presStyleCnt="2">
        <dgm:presLayoutVars>
          <dgm:chPref val="3"/>
        </dgm:presLayoutVars>
      </dgm:prSet>
      <dgm:spPr/>
      <dgm:t>
        <a:bodyPr/>
        <a:lstStyle/>
        <a:p>
          <a:endParaRPr lang="en-IN"/>
        </a:p>
      </dgm:t>
    </dgm:pt>
    <dgm:pt modelId="{F34A8A21-4120-40F6-8C68-90C3A301E32C}" type="pres">
      <dgm:prSet presAssocID="{F1AF8E1E-C9F6-4C59-8F76-08952DAC2665}" presName="rootConnector3" presStyleLbl="asst1" presStyleIdx="0" presStyleCnt="2"/>
      <dgm:spPr/>
      <dgm:t>
        <a:bodyPr/>
        <a:lstStyle/>
        <a:p>
          <a:endParaRPr lang="en-IN"/>
        </a:p>
      </dgm:t>
    </dgm:pt>
    <dgm:pt modelId="{6AC7D510-C36A-4505-9F57-89C4E998D098}" type="pres">
      <dgm:prSet presAssocID="{F1AF8E1E-C9F6-4C59-8F76-08952DAC2665}" presName="hierChild6" presStyleCnt="0"/>
      <dgm:spPr/>
    </dgm:pt>
    <dgm:pt modelId="{80FE3094-78D9-4A56-A313-2F835E517FCE}" type="pres">
      <dgm:prSet presAssocID="{F1AF8E1E-C9F6-4C59-8F76-08952DAC2665}" presName="hierChild7" presStyleCnt="0"/>
      <dgm:spPr/>
    </dgm:pt>
    <dgm:pt modelId="{6675F947-CDAF-46D7-A609-9AED760C602F}" type="pres">
      <dgm:prSet presAssocID="{A01C5F43-C6DF-4FCB-B0AB-A6108CDA614D}" presName="Name111" presStyleLbl="parChTrans1D2" presStyleIdx="4" presStyleCnt="5"/>
      <dgm:spPr/>
      <dgm:t>
        <a:bodyPr/>
        <a:lstStyle/>
        <a:p>
          <a:endParaRPr lang="en-IN"/>
        </a:p>
      </dgm:t>
    </dgm:pt>
    <dgm:pt modelId="{E1876DA4-1395-453F-9434-F66B8F3C9869}" type="pres">
      <dgm:prSet presAssocID="{DE28BCB9-D22E-4108-89CD-5D2DDA1F3858}" presName="hierRoot3" presStyleCnt="0">
        <dgm:presLayoutVars>
          <dgm:hierBranch val="init"/>
        </dgm:presLayoutVars>
      </dgm:prSet>
      <dgm:spPr/>
    </dgm:pt>
    <dgm:pt modelId="{D7DAC777-3190-497F-9F3B-27C7D952307A}" type="pres">
      <dgm:prSet presAssocID="{DE28BCB9-D22E-4108-89CD-5D2DDA1F3858}" presName="rootComposite3" presStyleCnt="0"/>
      <dgm:spPr/>
    </dgm:pt>
    <dgm:pt modelId="{395EB9ED-89D1-45AE-8ACE-76D3A8FBA817}" type="pres">
      <dgm:prSet presAssocID="{DE28BCB9-D22E-4108-89CD-5D2DDA1F3858}" presName="rootText3" presStyleLbl="asst1" presStyleIdx="1" presStyleCnt="2">
        <dgm:presLayoutVars>
          <dgm:chPref val="3"/>
        </dgm:presLayoutVars>
      </dgm:prSet>
      <dgm:spPr/>
      <dgm:t>
        <a:bodyPr/>
        <a:lstStyle/>
        <a:p>
          <a:endParaRPr lang="en-IN"/>
        </a:p>
      </dgm:t>
    </dgm:pt>
    <dgm:pt modelId="{0F5A09F5-D035-4502-8CEE-93BBBDB04B32}" type="pres">
      <dgm:prSet presAssocID="{DE28BCB9-D22E-4108-89CD-5D2DDA1F3858}" presName="rootConnector3" presStyleLbl="asst1" presStyleIdx="1" presStyleCnt="2"/>
      <dgm:spPr/>
      <dgm:t>
        <a:bodyPr/>
        <a:lstStyle/>
        <a:p>
          <a:endParaRPr lang="en-IN"/>
        </a:p>
      </dgm:t>
    </dgm:pt>
    <dgm:pt modelId="{3B7B1C0A-1910-496E-875B-B823E187600D}" type="pres">
      <dgm:prSet presAssocID="{DE28BCB9-D22E-4108-89CD-5D2DDA1F3858}" presName="hierChild6" presStyleCnt="0"/>
      <dgm:spPr/>
    </dgm:pt>
    <dgm:pt modelId="{9941B99A-ED99-4506-8DE8-38C049BE401A}" type="pres">
      <dgm:prSet presAssocID="{DE28BCB9-D22E-4108-89CD-5D2DDA1F3858}" presName="hierChild7" presStyleCnt="0"/>
      <dgm:spPr/>
    </dgm:pt>
  </dgm:ptLst>
  <dgm:cxnLst>
    <dgm:cxn modelId="{0D2CED1F-5B99-4672-9EE4-7A485BEE4FB1}" type="presOf" srcId="{F018B721-1884-439B-B687-8D08DCA52066}" destId="{58894D82-D0D8-4C15-98C3-A8897BF6689F}" srcOrd="1" destOrd="0" presId="urn:microsoft.com/office/officeart/2005/8/layout/orgChart1"/>
    <dgm:cxn modelId="{54462A6C-3044-4966-9F42-3113FD5AB5C8}" srcId="{90CDFB23-38A5-4284-9C6D-22B0F6881D72}" destId="{5DB0A58E-7A1A-4A12-9222-0A2B51F1BC45}" srcOrd="3" destOrd="0" parTransId="{2D90FB00-D1D5-4C83-B47B-1EB4C89E31CF}" sibTransId="{14F4665E-C4A0-4B58-B2AB-5DFB9427EB55}"/>
    <dgm:cxn modelId="{63DD2BDE-9D54-4699-8A4B-5A4919156077}" type="presOf" srcId="{F1AF8E1E-C9F6-4C59-8F76-08952DAC2665}" destId="{B8342A02-4181-4CD2-95A3-4814F42ED636}" srcOrd="0" destOrd="0" presId="urn:microsoft.com/office/officeart/2005/8/layout/orgChart1"/>
    <dgm:cxn modelId="{9A1D82B1-2041-43CC-A2BC-2DB4D0FF0743}" srcId="{82FD46B6-66F4-4EB2-A1A0-F464EE55C6C6}" destId="{90CDFB23-38A5-4284-9C6D-22B0F6881D72}" srcOrd="1" destOrd="0" parTransId="{E678394C-1974-494E-8E21-81D1E957E77F}" sibTransId="{B37BC3D3-D1C1-46F8-A6BF-DD7BCD740476}"/>
    <dgm:cxn modelId="{04208477-7FC9-4296-BCE6-B6D0CE0123ED}" type="presOf" srcId="{90CDFB23-38A5-4284-9C6D-22B0F6881D72}" destId="{4A897C2E-7B59-4BB8-9B0A-E26306056184}" srcOrd="0" destOrd="0" presId="urn:microsoft.com/office/officeart/2005/8/layout/orgChart1"/>
    <dgm:cxn modelId="{7921A758-0FF3-43F0-BD1A-F02970D49AAD}" type="presOf" srcId="{2D90FB00-D1D5-4C83-B47B-1EB4C89E31CF}" destId="{7DF3C290-491F-4016-A7AA-0C6966E66061}" srcOrd="0" destOrd="0" presId="urn:microsoft.com/office/officeart/2005/8/layout/orgChart1"/>
    <dgm:cxn modelId="{2B66952F-C7A3-4113-8F0A-A5D5C403D6B1}" type="presOf" srcId="{877DE1EF-FA8E-4407-B5A1-968E1CE45E09}" destId="{61703D7C-3CDF-4F79-9476-14FE59F3800C}" srcOrd="0" destOrd="0" presId="urn:microsoft.com/office/officeart/2005/8/layout/orgChart1"/>
    <dgm:cxn modelId="{6FB400DE-A21B-491D-A8DA-943E29F9D55E}" type="presOf" srcId="{DE28BCB9-D22E-4108-89CD-5D2DDA1F3858}" destId="{395EB9ED-89D1-45AE-8ACE-76D3A8FBA817}" srcOrd="0" destOrd="0" presId="urn:microsoft.com/office/officeart/2005/8/layout/orgChart1"/>
    <dgm:cxn modelId="{A9DCCA39-90AC-4F26-BC83-E83EFF8F2CF8}" srcId="{82FD46B6-66F4-4EB2-A1A0-F464EE55C6C6}" destId="{8BF0B6C9-ED01-4838-B4D0-A1D5A6D33020}" srcOrd="0" destOrd="0" parTransId="{C378E11D-D016-429F-A751-17A923615CCB}" sibTransId="{8437F98E-F13A-4953-A12C-EC04C59BE5B6}"/>
    <dgm:cxn modelId="{8E530A41-08A4-461D-9F1D-C59F6B491206}" srcId="{90CDFB23-38A5-4284-9C6D-22B0F6881D72}" destId="{F1AF8E1E-C9F6-4C59-8F76-08952DAC2665}" srcOrd="0" destOrd="0" parTransId="{38CD05D3-7678-4F66-AC29-64FEB6A5096B}" sibTransId="{3CEFA12B-6E2D-43FA-8FAE-824B6B43F0E6}"/>
    <dgm:cxn modelId="{F419BB32-617E-415E-8945-32E0156A6D4F}" type="presOf" srcId="{82FD46B6-66F4-4EB2-A1A0-F464EE55C6C6}" destId="{88E8685F-9D50-4D91-A799-F2D26D77B520}" srcOrd="0" destOrd="0" presId="urn:microsoft.com/office/officeart/2005/8/layout/orgChart1"/>
    <dgm:cxn modelId="{7F45D429-4507-48E8-AF42-67A7D2183DE9}" srcId="{90CDFB23-38A5-4284-9C6D-22B0F6881D72}" destId="{F018B721-1884-439B-B687-8D08DCA52066}" srcOrd="2" destOrd="0" parTransId="{71F49599-4437-4AAD-8624-F9AA7EBEB444}" sibTransId="{88DB84C8-5D16-43AD-8CE3-0C231B7B2951}"/>
    <dgm:cxn modelId="{DA7F7BC8-D1B4-4431-A086-8AE33EF44ED1}" type="presOf" srcId="{5DB0A58E-7A1A-4A12-9222-0A2B51F1BC45}" destId="{8E7F8358-77A2-42BF-B16D-0362CB5B0432}" srcOrd="1" destOrd="0" presId="urn:microsoft.com/office/officeart/2005/8/layout/orgChart1"/>
    <dgm:cxn modelId="{271782F3-51F2-4799-9559-6D534782CA22}" type="presOf" srcId="{62E4241C-2124-48F4-9DCB-4D296A3A0EDC}" destId="{C8C43DBE-B354-466D-B7BB-378FCC44F189}" srcOrd="0" destOrd="0" presId="urn:microsoft.com/office/officeart/2005/8/layout/orgChart1"/>
    <dgm:cxn modelId="{7F930923-44D7-4B00-B777-19D733E41083}" type="presOf" srcId="{8BF0B6C9-ED01-4838-B4D0-A1D5A6D33020}" destId="{C22C96A5-23D6-468D-8700-377A87ED0D96}" srcOrd="1" destOrd="0" presId="urn:microsoft.com/office/officeart/2005/8/layout/orgChart1"/>
    <dgm:cxn modelId="{F57EB31F-F08C-4912-89E5-964000918B4A}" type="presOf" srcId="{8BF0B6C9-ED01-4838-B4D0-A1D5A6D33020}" destId="{9832005D-7804-4BC5-B476-82A49514ED1C}" srcOrd="0" destOrd="0" presId="urn:microsoft.com/office/officeart/2005/8/layout/orgChart1"/>
    <dgm:cxn modelId="{6035FAE8-17D2-4167-820B-18F523C62234}" type="presOf" srcId="{5DB0A58E-7A1A-4A12-9222-0A2B51F1BC45}" destId="{67B4B728-08B4-40BB-8179-C105E5F39663}" srcOrd="0" destOrd="0" presId="urn:microsoft.com/office/officeart/2005/8/layout/orgChart1"/>
    <dgm:cxn modelId="{19CD7E14-7F50-43F3-803D-14D4691583F7}" srcId="{90CDFB23-38A5-4284-9C6D-22B0F6881D72}" destId="{DE28BCB9-D22E-4108-89CD-5D2DDA1F3858}" srcOrd="1" destOrd="0" parTransId="{A01C5F43-C6DF-4FCB-B0AB-A6108CDA614D}" sibTransId="{3BAC9A1D-E890-4F44-A646-CC25A80F4FB1}"/>
    <dgm:cxn modelId="{520B7D2F-1E27-48EA-ABDF-52FC033A2B27}" srcId="{90CDFB23-38A5-4284-9C6D-22B0F6881D72}" destId="{62E4241C-2124-48F4-9DCB-4D296A3A0EDC}" srcOrd="4" destOrd="0" parTransId="{877DE1EF-FA8E-4407-B5A1-968E1CE45E09}" sibTransId="{01EA1DB5-252D-4319-83DE-335A6E778800}"/>
    <dgm:cxn modelId="{6F4896DD-DB05-4C20-A11E-5E0611952B8D}" type="presOf" srcId="{38CD05D3-7678-4F66-AC29-64FEB6A5096B}" destId="{2EC13BA0-B0D5-4608-A5BE-3969DBDDEB63}" srcOrd="0" destOrd="0" presId="urn:microsoft.com/office/officeart/2005/8/layout/orgChart1"/>
    <dgm:cxn modelId="{FCD16AC9-BCCD-46D9-B085-86E8E6F28B2C}" type="presOf" srcId="{F018B721-1884-439B-B687-8D08DCA52066}" destId="{9D025C24-60D8-4759-B84C-002A0775A6E8}" srcOrd="0" destOrd="0" presId="urn:microsoft.com/office/officeart/2005/8/layout/orgChart1"/>
    <dgm:cxn modelId="{559EBCEC-CD3A-442D-8B9E-2AE00192D2D1}" type="presOf" srcId="{90CDFB23-38A5-4284-9C6D-22B0F6881D72}" destId="{CA825498-E9B3-4D06-8214-F91BAAC38154}" srcOrd="1" destOrd="0" presId="urn:microsoft.com/office/officeart/2005/8/layout/orgChart1"/>
    <dgm:cxn modelId="{FF667D1B-2AC3-49DA-A977-7ACAEAE4B39E}" type="presOf" srcId="{62E4241C-2124-48F4-9DCB-4D296A3A0EDC}" destId="{C1411277-0C66-4758-A34D-DA7417873E3A}" srcOrd="1" destOrd="0" presId="urn:microsoft.com/office/officeart/2005/8/layout/orgChart1"/>
    <dgm:cxn modelId="{2F76FF6D-9492-4036-AA82-2BEDABE98D36}" type="presOf" srcId="{DE28BCB9-D22E-4108-89CD-5D2DDA1F3858}" destId="{0F5A09F5-D035-4502-8CEE-93BBBDB04B32}" srcOrd="1" destOrd="0" presId="urn:microsoft.com/office/officeart/2005/8/layout/orgChart1"/>
    <dgm:cxn modelId="{C6A23197-2BE6-4643-ABC4-9436B4852C13}" type="presOf" srcId="{F1AF8E1E-C9F6-4C59-8F76-08952DAC2665}" destId="{F34A8A21-4120-40F6-8C68-90C3A301E32C}" srcOrd="1" destOrd="0" presId="urn:microsoft.com/office/officeart/2005/8/layout/orgChart1"/>
    <dgm:cxn modelId="{A371BE23-9184-4166-94E7-206D6252FA28}" type="presOf" srcId="{71F49599-4437-4AAD-8624-F9AA7EBEB444}" destId="{A3AEC619-9D7A-483E-81C8-EBDC58A7B3C9}" srcOrd="0" destOrd="0" presId="urn:microsoft.com/office/officeart/2005/8/layout/orgChart1"/>
    <dgm:cxn modelId="{D1865B7E-4D2F-411A-93E8-8428A4D2CAC2}" type="presOf" srcId="{A01C5F43-C6DF-4FCB-B0AB-A6108CDA614D}" destId="{6675F947-CDAF-46D7-A609-9AED760C602F}" srcOrd="0" destOrd="0" presId="urn:microsoft.com/office/officeart/2005/8/layout/orgChart1"/>
    <dgm:cxn modelId="{CEB67D7C-F1FF-43D6-94C8-3BDEC807377B}" type="presParOf" srcId="{88E8685F-9D50-4D91-A799-F2D26D77B520}" destId="{88EAF874-0207-47E2-B6C7-E08F8433DBDD}" srcOrd="0" destOrd="0" presId="urn:microsoft.com/office/officeart/2005/8/layout/orgChart1"/>
    <dgm:cxn modelId="{70BEA9A7-DD3C-4310-90DE-B5A61A1879C7}" type="presParOf" srcId="{88EAF874-0207-47E2-B6C7-E08F8433DBDD}" destId="{7AC1D942-F158-4E9B-92FC-CDE4291D9A33}" srcOrd="0" destOrd="0" presId="urn:microsoft.com/office/officeart/2005/8/layout/orgChart1"/>
    <dgm:cxn modelId="{DE9F49B6-4693-4E56-A1C0-ABE1454A9464}" type="presParOf" srcId="{7AC1D942-F158-4E9B-92FC-CDE4291D9A33}" destId="{9832005D-7804-4BC5-B476-82A49514ED1C}" srcOrd="0" destOrd="0" presId="urn:microsoft.com/office/officeart/2005/8/layout/orgChart1"/>
    <dgm:cxn modelId="{3FDB1977-F3AB-4E2A-914C-3635A47F2DCD}" type="presParOf" srcId="{7AC1D942-F158-4E9B-92FC-CDE4291D9A33}" destId="{C22C96A5-23D6-468D-8700-377A87ED0D96}" srcOrd="1" destOrd="0" presId="urn:microsoft.com/office/officeart/2005/8/layout/orgChart1"/>
    <dgm:cxn modelId="{FF178A7D-60AE-4E74-A036-91E9E0112F44}" type="presParOf" srcId="{88EAF874-0207-47E2-B6C7-E08F8433DBDD}" destId="{7FC43DF1-C3F5-4CF7-B283-98E94DBD56F8}" srcOrd="1" destOrd="0" presId="urn:microsoft.com/office/officeart/2005/8/layout/orgChart1"/>
    <dgm:cxn modelId="{128290CE-5376-41A8-A3D4-E4CFA869CE56}" type="presParOf" srcId="{88EAF874-0207-47E2-B6C7-E08F8433DBDD}" destId="{A49C5CAB-AB33-4E54-94E7-0935ADA51A5A}" srcOrd="2" destOrd="0" presId="urn:microsoft.com/office/officeart/2005/8/layout/orgChart1"/>
    <dgm:cxn modelId="{A3A054FF-4D84-42EB-A79E-D5E37C8C7CEC}" type="presParOf" srcId="{88E8685F-9D50-4D91-A799-F2D26D77B520}" destId="{7AA968B8-6A7B-42BA-9DAC-4AEBE8A0CF54}" srcOrd="1" destOrd="0" presId="urn:microsoft.com/office/officeart/2005/8/layout/orgChart1"/>
    <dgm:cxn modelId="{F22FB9A8-D9FE-4DB5-AAE8-01B8E67AA59D}" type="presParOf" srcId="{7AA968B8-6A7B-42BA-9DAC-4AEBE8A0CF54}" destId="{35D8870E-BFC2-4870-99D2-1130D3AE5063}" srcOrd="0" destOrd="0" presId="urn:microsoft.com/office/officeart/2005/8/layout/orgChart1"/>
    <dgm:cxn modelId="{CF196628-506B-4261-B22E-2C654EDE020F}" type="presParOf" srcId="{35D8870E-BFC2-4870-99D2-1130D3AE5063}" destId="{4A897C2E-7B59-4BB8-9B0A-E26306056184}" srcOrd="0" destOrd="0" presId="urn:microsoft.com/office/officeart/2005/8/layout/orgChart1"/>
    <dgm:cxn modelId="{7AB7790A-5E51-4395-AA65-DF76C2FFB68F}" type="presParOf" srcId="{35D8870E-BFC2-4870-99D2-1130D3AE5063}" destId="{CA825498-E9B3-4D06-8214-F91BAAC38154}" srcOrd="1" destOrd="0" presId="urn:microsoft.com/office/officeart/2005/8/layout/orgChart1"/>
    <dgm:cxn modelId="{96CDCACC-60B4-402B-84D0-26E402A0E14C}" type="presParOf" srcId="{7AA968B8-6A7B-42BA-9DAC-4AEBE8A0CF54}" destId="{5045651E-3F75-49A3-990C-9D97E3DC42EF}" srcOrd="1" destOrd="0" presId="urn:microsoft.com/office/officeart/2005/8/layout/orgChart1"/>
    <dgm:cxn modelId="{104FB22D-462D-4042-B6A6-183BF5A63BC2}" type="presParOf" srcId="{5045651E-3F75-49A3-990C-9D97E3DC42EF}" destId="{A3AEC619-9D7A-483E-81C8-EBDC58A7B3C9}" srcOrd="0" destOrd="0" presId="urn:microsoft.com/office/officeart/2005/8/layout/orgChart1"/>
    <dgm:cxn modelId="{3F88EA46-1C1E-4133-8AA8-8C224FD5D35E}" type="presParOf" srcId="{5045651E-3F75-49A3-990C-9D97E3DC42EF}" destId="{E0DF9AF4-F1AD-4B74-8250-2368A5D5FD63}" srcOrd="1" destOrd="0" presId="urn:microsoft.com/office/officeart/2005/8/layout/orgChart1"/>
    <dgm:cxn modelId="{40903B30-C7F4-4ACF-B0AE-49DBA86DCC89}" type="presParOf" srcId="{E0DF9AF4-F1AD-4B74-8250-2368A5D5FD63}" destId="{E0F3E54F-5E57-4CC5-9424-F30F0C356638}" srcOrd="0" destOrd="0" presId="urn:microsoft.com/office/officeart/2005/8/layout/orgChart1"/>
    <dgm:cxn modelId="{35D64FB4-1B47-487E-B733-CEFA7990F157}" type="presParOf" srcId="{E0F3E54F-5E57-4CC5-9424-F30F0C356638}" destId="{9D025C24-60D8-4759-B84C-002A0775A6E8}" srcOrd="0" destOrd="0" presId="urn:microsoft.com/office/officeart/2005/8/layout/orgChart1"/>
    <dgm:cxn modelId="{FC9D726B-7DB4-4341-B5C3-6F3A49F254CA}" type="presParOf" srcId="{E0F3E54F-5E57-4CC5-9424-F30F0C356638}" destId="{58894D82-D0D8-4C15-98C3-A8897BF6689F}" srcOrd="1" destOrd="0" presId="urn:microsoft.com/office/officeart/2005/8/layout/orgChart1"/>
    <dgm:cxn modelId="{68A458A7-9CF1-4BD0-9A92-07CF172B6266}" type="presParOf" srcId="{E0DF9AF4-F1AD-4B74-8250-2368A5D5FD63}" destId="{793199DE-263B-420D-B2C8-506E43ED9D88}" srcOrd="1" destOrd="0" presId="urn:microsoft.com/office/officeart/2005/8/layout/orgChart1"/>
    <dgm:cxn modelId="{B2F5297D-FD9D-4770-AEAD-F61D79477002}" type="presParOf" srcId="{E0DF9AF4-F1AD-4B74-8250-2368A5D5FD63}" destId="{C5FFC1E1-BF66-4C96-93AA-6209879E8C3A}" srcOrd="2" destOrd="0" presId="urn:microsoft.com/office/officeart/2005/8/layout/orgChart1"/>
    <dgm:cxn modelId="{08B439B8-E4B1-4C08-943D-09B75938D61D}" type="presParOf" srcId="{5045651E-3F75-49A3-990C-9D97E3DC42EF}" destId="{7DF3C290-491F-4016-A7AA-0C6966E66061}" srcOrd="2" destOrd="0" presId="urn:microsoft.com/office/officeart/2005/8/layout/orgChart1"/>
    <dgm:cxn modelId="{C5DA6A5B-0993-4552-994E-E5B752F29914}" type="presParOf" srcId="{5045651E-3F75-49A3-990C-9D97E3DC42EF}" destId="{D822AD12-3CCF-40FB-8E01-06E58C19CC8F}" srcOrd="3" destOrd="0" presId="urn:microsoft.com/office/officeart/2005/8/layout/orgChart1"/>
    <dgm:cxn modelId="{CBC6667D-8845-45C1-9FAC-2A759E9A5E98}" type="presParOf" srcId="{D822AD12-3CCF-40FB-8E01-06E58C19CC8F}" destId="{F4A4904F-65B8-457B-8CB6-6A5C05A659FB}" srcOrd="0" destOrd="0" presId="urn:microsoft.com/office/officeart/2005/8/layout/orgChart1"/>
    <dgm:cxn modelId="{AFE82628-D08B-49D3-8856-506E56396696}" type="presParOf" srcId="{F4A4904F-65B8-457B-8CB6-6A5C05A659FB}" destId="{67B4B728-08B4-40BB-8179-C105E5F39663}" srcOrd="0" destOrd="0" presId="urn:microsoft.com/office/officeart/2005/8/layout/orgChart1"/>
    <dgm:cxn modelId="{F026B5A3-0ADD-401E-8AC4-37AF08172CB7}" type="presParOf" srcId="{F4A4904F-65B8-457B-8CB6-6A5C05A659FB}" destId="{8E7F8358-77A2-42BF-B16D-0362CB5B0432}" srcOrd="1" destOrd="0" presId="urn:microsoft.com/office/officeart/2005/8/layout/orgChart1"/>
    <dgm:cxn modelId="{0084BF41-79DF-43FC-A7E8-3E7628DA3E56}" type="presParOf" srcId="{D822AD12-3CCF-40FB-8E01-06E58C19CC8F}" destId="{C34A20E0-919C-4556-8359-129377C2A175}" srcOrd="1" destOrd="0" presId="urn:microsoft.com/office/officeart/2005/8/layout/orgChart1"/>
    <dgm:cxn modelId="{04052B4C-9442-42D5-A6A8-55ACE20326C3}" type="presParOf" srcId="{D822AD12-3CCF-40FB-8E01-06E58C19CC8F}" destId="{2A9DF53F-C3E8-480F-8BDA-EEE4AB87A7C6}" srcOrd="2" destOrd="0" presId="urn:microsoft.com/office/officeart/2005/8/layout/orgChart1"/>
    <dgm:cxn modelId="{50E50DA7-F87F-4FCD-A245-D18D9376AB06}" type="presParOf" srcId="{5045651E-3F75-49A3-990C-9D97E3DC42EF}" destId="{61703D7C-3CDF-4F79-9476-14FE59F3800C}" srcOrd="4" destOrd="0" presId="urn:microsoft.com/office/officeart/2005/8/layout/orgChart1"/>
    <dgm:cxn modelId="{A33937B0-C146-4EAB-9F4F-23E02BFA6F63}" type="presParOf" srcId="{5045651E-3F75-49A3-990C-9D97E3DC42EF}" destId="{700EA511-5E98-4034-85B2-7BAEA5B4DC83}" srcOrd="5" destOrd="0" presId="urn:microsoft.com/office/officeart/2005/8/layout/orgChart1"/>
    <dgm:cxn modelId="{1D6E5C9B-109B-4256-96A8-6356064EF76F}" type="presParOf" srcId="{700EA511-5E98-4034-85B2-7BAEA5B4DC83}" destId="{8623F5CD-7C14-446F-B07E-CF039EA2C704}" srcOrd="0" destOrd="0" presId="urn:microsoft.com/office/officeart/2005/8/layout/orgChart1"/>
    <dgm:cxn modelId="{49B49640-138C-4853-90CD-312ADEA3EB2D}" type="presParOf" srcId="{8623F5CD-7C14-446F-B07E-CF039EA2C704}" destId="{C8C43DBE-B354-466D-B7BB-378FCC44F189}" srcOrd="0" destOrd="0" presId="urn:microsoft.com/office/officeart/2005/8/layout/orgChart1"/>
    <dgm:cxn modelId="{9A04FF3B-C392-46A0-8E3F-E8315A73779E}" type="presParOf" srcId="{8623F5CD-7C14-446F-B07E-CF039EA2C704}" destId="{C1411277-0C66-4758-A34D-DA7417873E3A}" srcOrd="1" destOrd="0" presId="urn:microsoft.com/office/officeart/2005/8/layout/orgChart1"/>
    <dgm:cxn modelId="{915DA8C9-9F2D-4871-95A3-600CF95C565B}" type="presParOf" srcId="{700EA511-5E98-4034-85B2-7BAEA5B4DC83}" destId="{945A65B6-B672-4258-B66F-23B7B1D2B21D}" srcOrd="1" destOrd="0" presId="urn:microsoft.com/office/officeart/2005/8/layout/orgChart1"/>
    <dgm:cxn modelId="{F7B28D6B-3127-4174-B7C8-94D4CAD87BC3}" type="presParOf" srcId="{700EA511-5E98-4034-85B2-7BAEA5B4DC83}" destId="{3C3BBE67-D201-4306-8EA2-286178D8D27B}" srcOrd="2" destOrd="0" presId="urn:microsoft.com/office/officeart/2005/8/layout/orgChart1"/>
    <dgm:cxn modelId="{C54F169F-52EC-45EA-A690-705AD48197F8}" type="presParOf" srcId="{7AA968B8-6A7B-42BA-9DAC-4AEBE8A0CF54}" destId="{77AB2679-4F40-49EC-8F99-F018453424A6}" srcOrd="2" destOrd="0" presId="urn:microsoft.com/office/officeart/2005/8/layout/orgChart1"/>
    <dgm:cxn modelId="{5E5CB1D4-EB51-49FC-8402-B0D0F6062EAF}" type="presParOf" srcId="{77AB2679-4F40-49EC-8F99-F018453424A6}" destId="{2EC13BA0-B0D5-4608-A5BE-3969DBDDEB63}" srcOrd="0" destOrd="0" presId="urn:microsoft.com/office/officeart/2005/8/layout/orgChart1"/>
    <dgm:cxn modelId="{1608353A-BCC3-48FA-A292-F0A4BE95C3A1}" type="presParOf" srcId="{77AB2679-4F40-49EC-8F99-F018453424A6}" destId="{0C1E28B8-08BB-4019-9C79-DFB683CE9662}" srcOrd="1" destOrd="0" presId="urn:microsoft.com/office/officeart/2005/8/layout/orgChart1"/>
    <dgm:cxn modelId="{B6D9EBAF-7A25-4D9C-9CCF-8ECA284615F2}" type="presParOf" srcId="{0C1E28B8-08BB-4019-9C79-DFB683CE9662}" destId="{53002A5E-BDBA-4DC2-A827-3EFD899F5833}" srcOrd="0" destOrd="0" presId="urn:microsoft.com/office/officeart/2005/8/layout/orgChart1"/>
    <dgm:cxn modelId="{446FE203-2FEA-416C-B01D-99F83B3DB28A}" type="presParOf" srcId="{53002A5E-BDBA-4DC2-A827-3EFD899F5833}" destId="{B8342A02-4181-4CD2-95A3-4814F42ED636}" srcOrd="0" destOrd="0" presId="urn:microsoft.com/office/officeart/2005/8/layout/orgChart1"/>
    <dgm:cxn modelId="{37191A50-B0D6-4C1D-B92B-EA5EF8259CE1}" type="presParOf" srcId="{53002A5E-BDBA-4DC2-A827-3EFD899F5833}" destId="{F34A8A21-4120-40F6-8C68-90C3A301E32C}" srcOrd="1" destOrd="0" presId="urn:microsoft.com/office/officeart/2005/8/layout/orgChart1"/>
    <dgm:cxn modelId="{E10BC3E5-6932-4F04-9A02-5FEDA10668BF}" type="presParOf" srcId="{0C1E28B8-08BB-4019-9C79-DFB683CE9662}" destId="{6AC7D510-C36A-4505-9F57-89C4E998D098}" srcOrd="1" destOrd="0" presId="urn:microsoft.com/office/officeart/2005/8/layout/orgChart1"/>
    <dgm:cxn modelId="{9A16B2F5-2F9C-4315-9B15-66D484C11963}" type="presParOf" srcId="{0C1E28B8-08BB-4019-9C79-DFB683CE9662}" destId="{80FE3094-78D9-4A56-A313-2F835E517FCE}" srcOrd="2" destOrd="0" presId="urn:microsoft.com/office/officeart/2005/8/layout/orgChart1"/>
    <dgm:cxn modelId="{19EBC3C3-080E-40BE-BF2B-7BBD390EE268}" type="presParOf" srcId="{77AB2679-4F40-49EC-8F99-F018453424A6}" destId="{6675F947-CDAF-46D7-A609-9AED760C602F}" srcOrd="2" destOrd="0" presId="urn:microsoft.com/office/officeart/2005/8/layout/orgChart1"/>
    <dgm:cxn modelId="{1F1F6F47-D7FB-418B-9B62-6C67C5D46D83}" type="presParOf" srcId="{77AB2679-4F40-49EC-8F99-F018453424A6}" destId="{E1876DA4-1395-453F-9434-F66B8F3C9869}" srcOrd="3" destOrd="0" presId="urn:microsoft.com/office/officeart/2005/8/layout/orgChart1"/>
    <dgm:cxn modelId="{201E1635-67D6-45B5-AEEC-93AA0B6E1ABF}" type="presParOf" srcId="{E1876DA4-1395-453F-9434-F66B8F3C9869}" destId="{D7DAC777-3190-497F-9F3B-27C7D952307A}" srcOrd="0" destOrd="0" presId="urn:microsoft.com/office/officeart/2005/8/layout/orgChart1"/>
    <dgm:cxn modelId="{C128D0B4-15DA-4416-9FE1-7A5FD51C3BDC}" type="presParOf" srcId="{D7DAC777-3190-497F-9F3B-27C7D952307A}" destId="{395EB9ED-89D1-45AE-8ACE-76D3A8FBA817}" srcOrd="0" destOrd="0" presId="urn:microsoft.com/office/officeart/2005/8/layout/orgChart1"/>
    <dgm:cxn modelId="{429DDDB5-D212-42BB-87DD-0AB847EEC97F}" type="presParOf" srcId="{D7DAC777-3190-497F-9F3B-27C7D952307A}" destId="{0F5A09F5-D035-4502-8CEE-93BBBDB04B32}" srcOrd="1" destOrd="0" presId="urn:microsoft.com/office/officeart/2005/8/layout/orgChart1"/>
    <dgm:cxn modelId="{A5FD43D5-7408-4620-AA6C-3CA79AAFF5FA}" type="presParOf" srcId="{E1876DA4-1395-453F-9434-F66B8F3C9869}" destId="{3B7B1C0A-1910-496E-875B-B823E187600D}" srcOrd="1" destOrd="0" presId="urn:microsoft.com/office/officeart/2005/8/layout/orgChart1"/>
    <dgm:cxn modelId="{811FB723-17CD-4EC3-AF7E-93D171D10DB9}" type="presParOf" srcId="{E1876DA4-1395-453F-9434-F66B8F3C9869}" destId="{9941B99A-ED99-4506-8DE8-38C049BE401A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11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cycle1">
  <dgm:title val=""/>
  <dgm:desc val=""/>
  <dgm:catLst>
    <dgm:cat type="cycle" pri="2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func="var" arg="dir" op="equ" val="norm">
        <dgm:alg type="cycle">
          <dgm:param type="stAng" val="0"/>
          <dgm:param type="spanAng" val="360"/>
        </dgm:alg>
      </dgm:if>
      <dgm:else name="Name2">
        <dgm:alg type="cycle">
          <dgm:param type="stAng" val="0"/>
          <dgm:param type="spanAng" val="-360"/>
        </dgm:alg>
      </dgm:else>
    </dgm:choose>
    <dgm:shape xmlns:r="http://schemas.openxmlformats.org/officeDocument/2006/relationships" r:blip="">
      <dgm:adjLst/>
    </dgm:shape>
    <dgm:presOf/>
    <dgm:choose name="Name3">
      <dgm:if name="Name4" func="var" arg="dir" op="equ" val="norm">
        <dgm:constrLst>
          <dgm:constr type="diam" val="1"/>
          <dgm:constr type="w" for="ch" forName="node" refType="w"/>
          <dgm:constr type="w" for="ch" ptType="sibTrans" refType="w" refFor="ch" refForName="node" fact="0.5"/>
          <dgm:constr type="h" for="ch" ptType="sibTrans" op="equ"/>
          <dgm:constr type="diam" for="ch" ptType="sibTrans" refType="diam" op="equ"/>
          <dgm:constr type="sibSp" refType="w" refFor="ch" refForName="node" fact="0.15"/>
          <dgm:constr type="w" for="ch" forName="dummy" refType="sibSp" fact="2.8"/>
          <dgm:constr type="primFontSz" for="ch" forName="node" op="equ" val="65"/>
        </dgm:constrLst>
      </dgm:if>
      <dgm:else name="Name5">
        <dgm:constrLst>
          <dgm:constr type="diam" val="1"/>
          <dgm:constr type="w" for="ch" forName="node" refType="w"/>
          <dgm:constr type="w" for="ch" ptType="sibTrans" refType="w" refFor="ch" refForName="node" fact="0.5"/>
          <dgm:constr type="h" for="ch" ptType="sibTrans" op="equ"/>
          <dgm:constr type="diam" for="ch" ptType="sibTrans" refType="diam" op="equ" fact="-1"/>
          <dgm:constr type="sibSp" refType="w" refFor="ch" refForName="node" fact="0.15"/>
          <dgm:constr type="w" for="ch" forName="dummy" refType="sibSp" fact="2.8"/>
          <dgm:constr type="primFontSz" for="ch" forName="node" op="equ" val="65"/>
        </dgm:constrLst>
      </dgm:else>
    </dgm:choose>
    <dgm:ruleLst>
      <dgm:rule type="diam" val="INF" fact="NaN" max="NaN"/>
    </dgm:ruleLst>
    <dgm:forEach name="nodesForEach" axis="ch" ptType="node">
      <dgm:choose name="Name6">
        <dgm:if name="Name7" axis="par ch" ptType="doc node" func="cnt" op="gt" val="1">
          <dgm:layoutNode name="dummy">
            <dgm:alg type="sp"/>
            <dgm:shape xmlns:r="http://schemas.openxmlformats.org/officeDocument/2006/relationships" r:blip="">
              <dgm:adjLst/>
            </dgm:shape>
            <dgm:presOf/>
            <dgm:constrLst>
              <dgm:constr type="h" refType="w"/>
            </dgm:constrLst>
            <dgm:ruleLst/>
          </dgm:layoutNode>
        </dgm:if>
        <dgm:else name="Name8"/>
      </dgm:choose>
      <dgm:layoutNode name="node" styleLbl="revTx">
        <dgm:varLst>
          <dgm:bulletEnabled val="1"/>
        </dgm:varLst>
        <dgm:alg type="tx">
          <dgm:param type="txAnchorVertCh" val="mid"/>
        </dgm:alg>
        <dgm:shape xmlns:r="http://schemas.openxmlformats.org/officeDocument/2006/relationships" type="rect" r:blip="">
          <dgm:adjLst/>
        </dgm:shape>
        <dgm:presOf axis="desOrSelf" ptType="node"/>
        <dgm:constrLst>
          <dgm:constr type="h" refType="w"/>
          <dgm:constr type="lMarg" refType="primFontSz" fact="0.1"/>
          <dgm:constr type="rMarg" refType="primFontSz" fact="0.1"/>
          <dgm:constr type="tMarg" refType="primFontSz" fact="0.1"/>
          <dgm:constr type="bMarg" refType="primFontSz" fact="0.1"/>
        </dgm:constrLst>
        <dgm:ruleLst>
          <dgm:rule type="primFontSz" val="5" fact="NaN" max="NaN"/>
        </dgm:ruleLst>
      </dgm:layoutNode>
      <dgm:choose name="Name9">
        <dgm:if name="Name10" axis="par ch" ptType="doc node" func="cnt" op="gt" val="1">
          <dgm:forEach name="Name11" axis="followSib" ptType="sibTrans" hideLastTrans="0" cnt="1">
            <dgm:layoutNode name="sibTrans" styleLbl="node1">
              <dgm:alg type="conn">
                <dgm:param type="connRout" val="curve"/>
                <dgm:param type="begPts" val="radial"/>
                <dgm:param type="endPts" val="radial"/>
              </dgm:alg>
              <dgm:shape xmlns:r="http://schemas.openxmlformats.org/officeDocument/2006/relationships" type="conn" r:blip="">
                <dgm:adjLst/>
              </dgm:shape>
              <dgm:presOf axis="self"/>
              <dgm:constrLst>
                <dgm:constr type="h" refType="w" fact="0.65"/>
                <dgm:constr type="begPad"/>
                <dgm:constr type="endPad"/>
              </dgm:constrLst>
              <dgm:ruleLst/>
            </dgm:layoutNode>
          </dgm:forEach>
        </dgm:if>
        <dgm:else name="Name12"/>
      </dgm:choose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Layout" Target="../diagrams/layout2.xml"/><Relationship Id="rId3" Type="http://schemas.openxmlformats.org/officeDocument/2006/relationships/diagramLayout" Target="../diagrams/layout1.xml"/><Relationship Id="rId7" Type="http://schemas.openxmlformats.org/officeDocument/2006/relationships/diagramData" Target="../diagrams/data2.xml"/><Relationship Id="rId12" Type="http://schemas.openxmlformats.org/officeDocument/2006/relationships/chart" Target="../charts/chart1.xml"/><Relationship Id="rId2" Type="http://schemas.openxmlformats.org/officeDocument/2006/relationships/diagramData" Target="../diagrams/data1.xml"/><Relationship Id="rId1" Type="http://schemas.openxmlformats.org/officeDocument/2006/relationships/image" Target="../media/image1.jpeg"/><Relationship Id="rId6" Type="http://schemas.microsoft.com/office/2007/relationships/diagramDrawing" Target="../diagrams/drawing1.xml"/><Relationship Id="rId11" Type="http://schemas.microsoft.com/office/2007/relationships/diagramDrawing" Target="../diagrams/drawing2.xml"/><Relationship Id="rId5" Type="http://schemas.openxmlformats.org/officeDocument/2006/relationships/diagramColors" Target="../diagrams/colors1.xml"/><Relationship Id="rId10" Type="http://schemas.openxmlformats.org/officeDocument/2006/relationships/diagramColors" Target="../diagrams/colors2.xml"/><Relationship Id="rId4" Type="http://schemas.openxmlformats.org/officeDocument/2006/relationships/diagramQuickStyle" Target="../diagrams/quickStyle1.xml"/><Relationship Id="rId9" Type="http://schemas.openxmlformats.org/officeDocument/2006/relationships/diagramQuickStyle" Target="../diagrams/quickStyle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9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90500"/>
          <a:ext cx="3352800" cy="152400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1</xdr:row>
      <xdr:rowOff>0</xdr:rowOff>
    </xdr:from>
    <xdr:to>
      <xdr:col>8</xdr:col>
      <xdr:colOff>0</xdr:colOff>
      <xdr:row>9</xdr:row>
      <xdr:rowOff>9525</xdr:rowOff>
    </xdr:to>
    <xdr:graphicFrame macro="">
      <xdr:nvGraphicFramePr>
        <xdr:cNvPr id="3" name="Diagram 2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2" r:lo="rId3" r:qs="rId4" r:cs="rId5"/>
        </a:graphicData>
      </a:graphic>
    </xdr:graphicFrame>
    <xdr:clientData/>
  </xdr:twoCellAnchor>
  <xdr:twoCellAnchor>
    <xdr:from>
      <xdr:col>5</xdr:col>
      <xdr:colOff>295275</xdr:colOff>
      <xdr:row>0</xdr:row>
      <xdr:rowOff>0</xdr:rowOff>
    </xdr:from>
    <xdr:to>
      <xdr:col>5</xdr:col>
      <xdr:colOff>1947430</xdr:colOff>
      <xdr:row>9</xdr:row>
      <xdr:rowOff>104775</xdr:rowOff>
    </xdr:to>
    <xdr:graphicFrame macro="">
      <xdr:nvGraphicFramePr>
        <xdr:cNvPr id="5" name="Diagram 4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7" r:lo="rId8" r:qs="rId9" r:cs="rId10"/>
        </a:graphicData>
      </a:graphic>
    </xdr:graphicFrame>
    <xdr:clientData/>
  </xdr:twoCellAnchor>
  <xdr:twoCellAnchor>
    <xdr:from>
      <xdr:col>3</xdr:col>
      <xdr:colOff>1885950</xdr:colOff>
      <xdr:row>33</xdr:row>
      <xdr:rowOff>95250</xdr:rowOff>
    </xdr:from>
    <xdr:to>
      <xdr:col>7</xdr:col>
      <xdr:colOff>457200</xdr:colOff>
      <xdr:row>47</xdr:row>
      <xdr:rowOff>171450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3</xdr:row>
      <xdr:rowOff>57150</xdr:rowOff>
    </xdr:from>
    <xdr:to>
      <xdr:col>12</xdr:col>
      <xdr:colOff>400050</xdr:colOff>
      <xdr:row>17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95249</xdr:colOff>
      <xdr:row>2</xdr:row>
      <xdr:rowOff>171449</xdr:rowOff>
    </xdr:from>
    <xdr:to>
      <xdr:col>21</xdr:col>
      <xdr:colOff>457200</xdr:colOff>
      <xdr:row>31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36</xdr:row>
      <xdr:rowOff>100012</xdr:rowOff>
    </xdr:from>
    <xdr:to>
      <xdr:col>14</xdr:col>
      <xdr:colOff>514350</xdr:colOff>
      <xdr:row>50</xdr:row>
      <xdr:rowOff>176212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Excel%20Shee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012.40846608796" createdVersion="5" refreshedVersion="5" minRefreshableVersion="3" recordCount="12">
  <cacheSource type="worksheet">
    <worksheetSource ref="B3:B15" sheet="Sheet3" r:id="rId2"/>
  </cacheSource>
  <cacheFields count="1">
    <cacheField name="Months" numFmtId="0">
      <sharedItems count="12">
        <s v="Jan"/>
        <s v="Feb"/>
        <s v="Mar"/>
        <s v="Apr"/>
        <s v="May"/>
        <s v="June"/>
        <s v="Jul"/>
        <s v="Aug"/>
        <s v="Sep"/>
        <s v="Oct"/>
        <s v="Nov"/>
        <s v="De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3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" firstHeaderRow="0" firstDataRow="0" firstDataCol="0" rowPageCount="1" colPageCount="1"/>
  <pivotFields count="1">
    <pivotField axis="axisPage" showAll="0">
      <items count="13">
        <item x="0"/>
        <item x="1"/>
        <item x="2"/>
        <item x="3"/>
        <item x="4"/>
        <item x="6"/>
        <item x="7"/>
        <item x="8"/>
        <item x="9"/>
        <item x="10"/>
        <item x="11"/>
        <item x="5"/>
        <item t="default"/>
      </items>
    </pivotField>
  </pivotFields>
  <pageFields count="1">
    <pageField fld="0" item="0" hier="-1"/>
  </page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9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" firstHeaderRow="0" firstDataRow="0" firstDataCol="0" rowPageCount="1" colPageCount="1"/>
  <pivotFields count="1">
    <pivotField axis="axisPage" showAll="0">
      <items count="13">
        <item x="0"/>
        <item x="1"/>
        <item x="2"/>
        <item x="3"/>
        <item x="4"/>
        <item x="6"/>
        <item x="7"/>
        <item x="8"/>
        <item x="9"/>
        <item x="10"/>
        <item x="11"/>
        <item x="5"/>
        <item t="default"/>
      </items>
    </pivotField>
  </pivotFields>
  <pageFields count="1">
    <pageField fld="0" item="4" hier="-1"/>
  </page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" firstHeaderRow="0" firstDataRow="0" firstDataCol="0" rowPageCount="1" colPageCount="1"/>
  <pivotFields count="1">
    <pivotField axis="axisPage" showAll="0">
      <items count="13">
        <item x="0"/>
        <item x="1"/>
        <item x="2"/>
        <item x="3"/>
        <item x="4"/>
        <item x="6"/>
        <item x="7"/>
        <item x="8"/>
        <item x="9"/>
        <item x="10"/>
        <item x="11"/>
        <item x="5"/>
        <item t="default"/>
      </items>
    </pivotField>
  </pivotFields>
  <pageFields count="1">
    <pageField fld="0" item="11" hier="-1"/>
  </page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" firstHeaderRow="0" firstDataRow="0" firstDataCol="0" rowPageCount="1" colPageCount="1"/>
  <pivotFields count="1">
    <pivotField axis="axisPage" showAll="0">
      <items count="13">
        <item x="0"/>
        <item x="1"/>
        <item x="2"/>
        <item x="3"/>
        <item x="4"/>
        <item x="6"/>
        <item x="7"/>
        <item x="8"/>
        <item x="9"/>
        <item x="10"/>
        <item x="11"/>
        <item x="5"/>
        <item t="default"/>
      </items>
    </pivotField>
  </pivotFields>
  <pageFields count="1">
    <pageField fld="0" item="6" hier="-1"/>
  </page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" firstHeaderRow="0" firstDataRow="0" firstDataCol="0" rowPageCount="1" colPageCount="1"/>
  <pivotFields count="1">
    <pivotField axis="axisPage" showAll="0">
      <items count="13">
        <item x="0"/>
        <item x="1"/>
        <item x="2"/>
        <item x="3"/>
        <item x="4"/>
        <item x="6"/>
        <item x="7"/>
        <item x="8"/>
        <item x="9"/>
        <item x="10"/>
        <item x="11"/>
        <item x="5"/>
        <item t="default"/>
      </items>
    </pivotField>
  </pivotFields>
  <pageFields count="1">
    <pageField fld="0" item="9" hier="-1"/>
  </page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" firstHeaderRow="0" firstDataRow="0" firstDataCol="0" rowPageCount="1" colPageCount="1"/>
  <pivotFields count="1">
    <pivotField axis="axisPage" showAll="0">
      <items count="13">
        <item x="0"/>
        <item x="1"/>
        <item x="2"/>
        <item x="3"/>
        <item x="4"/>
        <item x="6"/>
        <item x="7"/>
        <item x="8"/>
        <item x="9"/>
        <item x="10"/>
        <item x="11"/>
        <item x="5"/>
        <item t="default"/>
      </items>
    </pivotField>
  </pivotFields>
  <pageFields count="1">
    <pageField fld="0" item="10" hier="-1"/>
  </page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5" name="Table5" displayName="Table5" ref="A11:H33" totalsRowCount="1" tableBorderDxfId="65" headerRowCellStyle="Normal">
  <autoFilter ref="A11:H32"/>
  <tableColumns count="8">
    <tableColumn id="1" name="SNO " totalsRowLabel="Total">
      <calculatedColumnFormula>+A11+1</calculatedColumnFormula>
    </tableColumn>
    <tableColumn id="2" name="NAME OF THE CONTRACTOR" totalsRowFunction="count"/>
    <tableColumn id="3" name="REFERENCE" totalsRowFunction="count"/>
    <tableColumn id="4" name="MOBILE NUMBER" totalsRowFunction="count"/>
    <tableColumn id="5" name="STATUS" totalsRowFunction="count"/>
    <tableColumn id="7" name="BRANCH NAME/BRANCH CODE" totalsRowFunction="count"/>
    <tableColumn id="10" name="NOS" totalsRowFunction="sum" dataDxfId="64" totalsRowDxfId="63" dataCellStyle="Comma"/>
    <tableColumn id="8" name="REMARK" totalsRowFunction="count"/>
  </tableColumns>
  <tableStyleInfo name="TableStyleMedium6" showFirstColumn="1" showLastColumn="0" showRowStripes="1" showColumnStripes="0"/>
</table>
</file>

<file path=xl/tables/table2.xml><?xml version="1.0" encoding="utf-8"?>
<table xmlns="http://schemas.openxmlformats.org/spreadsheetml/2006/main" id="1" name="Table1" displayName="Table1" ref="A3:K104" headerRowDxfId="62">
  <autoFilter ref="A3:K104"/>
  <sortState ref="A3">
    <sortCondition ref="A3:A4"/>
  </sortState>
  <tableColumns count="11">
    <tableColumn id="1" name="SNO" totalsRowLabel="Total" dataDxfId="61">
      <calculatedColumnFormula>+A3+1</calculatedColumnFormula>
    </tableColumn>
    <tableColumn id="2" name="NAME OF THE PERSON"/>
    <tableColumn id="3" name="CONTACT NUMBER"/>
    <tableColumn id="4" name="E-MAIL ID--IF"/>
    <tableColumn id="5" name="STATUS"/>
    <tableColumn id="6" name="BRANCH NAME / BRANCH CODE"/>
    <tableColumn id="7" name="REMARKS"/>
    <tableColumn id="8" name="Column1"/>
    <tableColumn id="9" name="Column2"/>
    <tableColumn id="10" name="Column3"/>
    <tableColumn id="11" name="Column4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2" name="Table2" displayName="Table2" ref="B3:D35" totalsRowShown="0" headerRowDxfId="60" headerRowBorderDxfId="59" tableBorderDxfId="58" totalsRowBorderDxfId="57">
  <autoFilter ref="B3:D35"/>
  <tableColumns count="3">
    <tableColumn id="1" name="Names" dataDxfId="56"/>
    <tableColumn id="2" name="2020" dataDxfId="55"/>
    <tableColumn id="3" name="2025" dataDxfId="5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Table24" displayName="Table24" ref="B6:D36" totalsRowCount="1" headerRowDxfId="53" headerRowBorderDxfId="52" tableBorderDxfId="51" totalsRowBorderDxfId="50">
  <autoFilter ref="B6:D35"/>
  <tableColumns count="3">
    <tableColumn id="1" name="Names" dataDxfId="49" totalsRowDxfId="48"/>
    <tableColumn id="2" name="2020" totalsRowFunction="custom" dataDxfId="47" totalsRowDxfId="46">
      <totalsRowFormula>SUM(C8:C35)</totalsRowFormula>
    </tableColumn>
    <tableColumn id="3" name="2025" totalsRowFunction="custom" dataDxfId="45" totalsRowDxfId="44">
      <totalsRowFormula>SUM(D8:D35)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reen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mailto:rajaraja956874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H34"/>
  <sheetViews>
    <sheetView zoomScaleNormal="100" workbookViewId="0">
      <selection activeCell="G28" sqref="G28"/>
    </sheetView>
  </sheetViews>
  <sheetFormatPr defaultRowHeight="15" x14ac:dyDescent="0.25"/>
  <cols>
    <col min="1" max="1" width="7.42578125" customWidth="1"/>
    <col min="2" max="2" width="30.28515625" customWidth="1"/>
    <col min="3" max="3" width="20" customWidth="1"/>
    <col min="4" max="4" width="33.140625" customWidth="1"/>
    <col min="5" max="5" width="15.7109375" customWidth="1"/>
    <col min="6" max="6" width="30.140625" customWidth="1"/>
    <col min="7" max="7" width="11" customWidth="1"/>
    <col min="8" max="8" width="11.85546875" customWidth="1"/>
  </cols>
  <sheetData>
    <row r="2" spans="1:8" x14ac:dyDescent="0.25">
      <c r="B2" s="57"/>
      <c r="C2" s="57"/>
      <c r="D2" s="58" t="s">
        <v>56</v>
      </c>
      <c r="E2" s="58"/>
      <c r="F2" s="57"/>
      <c r="G2" s="57"/>
      <c r="H2" s="57"/>
    </row>
    <row r="3" spans="1:8" x14ac:dyDescent="0.25">
      <c r="B3" s="57"/>
      <c r="C3" s="57"/>
      <c r="D3" s="58"/>
      <c r="E3" s="58"/>
      <c r="F3" s="57"/>
      <c r="G3" s="57"/>
      <c r="H3" s="57"/>
    </row>
    <row r="4" spans="1:8" x14ac:dyDescent="0.25">
      <c r="B4" s="57"/>
      <c r="C4" s="57"/>
      <c r="D4" s="58"/>
      <c r="E4" s="58"/>
      <c r="F4" s="57"/>
      <c r="G4" s="57"/>
      <c r="H4" s="57"/>
    </row>
    <row r="5" spans="1:8" x14ac:dyDescent="0.25">
      <c r="B5" s="57"/>
      <c r="C5" s="57"/>
      <c r="D5" s="59" t="s">
        <v>57</v>
      </c>
      <c r="E5" s="59"/>
      <c r="F5" s="57"/>
      <c r="G5" s="57"/>
      <c r="H5" s="57"/>
    </row>
    <row r="6" spans="1:8" x14ac:dyDescent="0.25">
      <c r="B6" s="57"/>
      <c r="C6" s="57"/>
      <c r="D6" s="59"/>
      <c r="E6" s="59"/>
      <c r="F6" s="57"/>
      <c r="G6" s="57"/>
      <c r="H6" s="57"/>
    </row>
    <row r="7" spans="1:8" ht="15" customHeight="1" x14ac:dyDescent="0.25">
      <c r="B7" s="57"/>
      <c r="C7" s="57"/>
      <c r="D7" s="60" t="s">
        <v>54</v>
      </c>
      <c r="E7" s="60"/>
      <c r="F7" s="57"/>
      <c r="G7" s="57"/>
      <c r="H7" s="57"/>
    </row>
    <row r="8" spans="1:8" x14ac:dyDescent="0.25">
      <c r="B8" s="57"/>
      <c r="C8" s="57"/>
      <c r="D8" s="60"/>
      <c r="E8" s="60"/>
      <c r="F8" s="57"/>
      <c r="G8" s="57"/>
      <c r="H8" s="57"/>
    </row>
    <row r="9" spans="1:8" x14ac:dyDescent="0.25">
      <c r="B9" s="57"/>
      <c r="C9" s="57"/>
      <c r="D9" s="60"/>
      <c r="E9" s="60"/>
      <c r="F9" s="57"/>
      <c r="G9" s="57"/>
      <c r="H9" s="57"/>
    </row>
    <row r="11" spans="1:8" x14ac:dyDescent="0.25">
      <c r="A11" t="s">
        <v>0</v>
      </c>
      <c r="B11" s="8" t="s">
        <v>46</v>
      </c>
      <c r="C11" t="s">
        <v>47</v>
      </c>
      <c r="D11" s="20" t="s">
        <v>48</v>
      </c>
      <c r="E11" t="s">
        <v>4</v>
      </c>
      <c r="F11" t="s">
        <v>5</v>
      </c>
      <c r="G11" t="s">
        <v>55</v>
      </c>
      <c r="H11" t="s">
        <v>6</v>
      </c>
    </row>
    <row r="12" spans="1:8" x14ac:dyDescent="0.25">
      <c r="G12" s="22"/>
    </row>
    <row r="13" spans="1:8" x14ac:dyDescent="0.25">
      <c r="A13" s="19">
        <f t="shared" ref="A13:A32" si="0">+A12+1</f>
        <v>1</v>
      </c>
      <c r="B13" s="9" t="s">
        <v>20</v>
      </c>
      <c r="C13" s="10" t="s">
        <v>21</v>
      </c>
      <c r="D13" s="11">
        <v>9652236687</v>
      </c>
      <c r="E13" s="18" t="s">
        <v>49</v>
      </c>
      <c r="F13" s="18" t="s">
        <v>54</v>
      </c>
      <c r="G13" s="21">
        <v>12</v>
      </c>
      <c r="H13" s="18" t="s">
        <v>52</v>
      </c>
    </row>
    <row r="14" spans="1:8" x14ac:dyDescent="0.25">
      <c r="A14" s="19">
        <f t="shared" si="0"/>
        <v>2</v>
      </c>
      <c r="B14" s="9" t="s">
        <v>22</v>
      </c>
      <c r="C14" s="10" t="s">
        <v>21</v>
      </c>
      <c r="D14" s="11">
        <v>7013699258</v>
      </c>
      <c r="E14" s="18" t="s">
        <v>50</v>
      </c>
      <c r="F14" s="18" t="s">
        <v>51</v>
      </c>
      <c r="G14" s="21">
        <v>0</v>
      </c>
      <c r="H14" s="18" t="s">
        <v>52</v>
      </c>
    </row>
    <row r="15" spans="1:8" x14ac:dyDescent="0.25">
      <c r="A15" s="19">
        <f t="shared" si="0"/>
        <v>3</v>
      </c>
      <c r="B15" s="12" t="s">
        <v>23</v>
      </c>
      <c r="C15" s="10" t="s">
        <v>21</v>
      </c>
      <c r="D15" s="11">
        <v>9676026401</v>
      </c>
      <c r="E15" s="18" t="s">
        <v>50</v>
      </c>
      <c r="F15" s="18"/>
      <c r="G15" s="21"/>
      <c r="H15" s="18" t="s">
        <v>52</v>
      </c>
    </row>
    <row r="16" spans="1:8" x14ac:dyDescent="0.25">
      <c r="A16" s="19">
        <f>+A15+1</f>
        <v>4</v>
      </c>
      <c r="B16" s="13" t="s">
        <v>24</v>
      </c>
      <c r="C16" s="10"/>
      <c r="D16" s="11"/>
      <c r="E16" s="18"/>
      <c r="F16" s="18" t="s">
        <v>51</v>
      </c>
      <c r="G16" s="21">
        <v>0</v>
      </c>
      <c r="H16" s="18" t="s">
        <v>52</v>
      </c>
    </row>
    <row r="17" spans="1:8" x14ac:dyDescent="0.25">
      <c r="A17" s="19">
        <f t="shared" si="0"/>
        <v>5</v>
      </c>
      <c r="B17" s="9" t="s">
        <v>25</v>
      </c>
      <c r="C17" s="10" t="s">
        <v>42</v>
      </c>
      <c r="D17" s="11">
        <v>9494490773</v>
      </c>
      <c r="E17" s="18" t="s">
        <v>49</v>
      </c>
      <c r="F17" s="18"/>
      <c r="G17" s="21">
        <v>24</v>
      </c>
      <c r="H17" s="18" t="s">
        <v>53</v>
      </c>
    </row>
    <row r="18" spans="1:8" x14ac:dyDescent="0.25">
      <c r="A18" s="19">
        <f t="shared" si="0"/>
        <v>6</v>
      </c>
      <c r="B18" s="9" t="s">
        <v>26</v>
      </c>
      <c r="C18" s="10" t="s">
        <v>44</v>
      </c>
      <c r="D18" s="11">
        <v>8639434979</v>
      </c>
      <c r="E18" s="18" t="s">
        <v>49</v>
      </c>
      <c r="F18" s="18" t="s">
        <v>51</v>
      </c>
      <c r="G18" s="21">
        <v>11</v>
      </c>
      <c r="H18" s="18" t="s">
        <v>53</v>
      </c>
    </row>
    <row r="19" spans="1:8" x14ac:dyDescent="0.25">
      <c r="A19" s="19">
        <f t="shared" si="0"/>
        <v>7</v>
      </c>
      <c r="B19" s="14" t="s">
        <v>27</v>
      </c>
      <c r="C19" s="10"/>
      <c r="D19" s="16"/>
      <c r="E19" s="18" t="s">
        <v>49</v>
      </c>
      <c r="F19" s="18" t="s">
        <v>54</v>
      </c>
      <c r="G19" s="21">
        <v>19</v>
      </c>
      <c r="H19" s="18" t="s">
        <v>53</v>
      </c>
    </row>
    <row r="20" spans="1:8" x14ac:dyDescent="0.25">
      <c r="A20" s="19">
        <f t="shared" si="0"/>
        <v>8</v>
      </c>
      <c r="B20" s="14" t="s">
        <v>28</v>
      </c>
      <c r="C20" s="10" t="s">
        <v>44</v>
      </c>
      <c r="D20" s="16">
        <v>8709165761</v>
      </c>
      <c r="E20" s="18" t="s">
        <v>50</v>
      </c>
      <c r="F20" s="18" t="s">
        <v>51</v>
      </c>
      <c r="G20" s="21"/>
      <c r="H20" s="18"/>
    </row>
    <row r="21" spans="1:8" x14ac:dyDescent="0.25">
      <c r="A21" s="19">
        <f t="shared" si="0"/>
        <v>9</v>
      </c>
      <c r="B21" s="14" t="s">
        <v>29</v>
      </c>
      <c r="C21" s="10" t="s">
        <v>42</v>
      </c>
      <c r="D21" s="16">
        <v>6309567777</v>
      </c>
      <c r="E21" s="18" t="s">
        <v>50</v>
      </c>
      <c r="F21" s="18" t="s">
        <v>51</v>
      </c>
      <c r="G21" s="21">
        <v>20</v>
      </c>
      <c r="H21" s="18" t="s">
        <v>53</v>
      </c>
    </row>
    <row r="22" spans="1:8" x14ac:dyDescent="0.25">
      <c r="A22" s="19">
        <f t="shared" si="0"/>
        <v>10</v>
      </c>
      <c r="B22" s="14" t="s">
        <v>30</v>
      </c>
      <c r="C22" s="10" t="s">
        <v>42</v>
      </c>
      <c r="D22" s="16">
        <v>9000286290</v>
      </c>
      <c r="E22" s="18" t="s">
        <v>50</v>
      </c>
      <c r="F22" s="18"/>
      <c r="G22" s="21">
        <v>0</v>
      </c>
      <c r="H22" s="18" t="s">
        <v>52</v>
      </c>
    </row>
    <row r="23" spans="1:8" x14ac:dyDescent="0.25">
      <c r="A23" s="19">
        <f t="shared" si="0"/>
        <v>11</v>
      </c>
      <c r="B23" s="14" t="s">
        <v>31</v>
      </c>
      <c r="C23" s="15" t="s">
        <v>21</v>
      </c>
      <c r="D23" s="16">
        <v>7846998489</v>
      </c>
      <c r="E23" s="18" t="s">
        <v>50</v>
      </c>
      <c r="F23" s="18" t="s">
        <v>51</v>
      </c>
      <c r="G23" s="21">
        <v>10</v>
      </c>
      <c r="H23" s="18"/>
    </row>
    <row r="24" spans="1:8" x14ac:dyDescent="0.25">
      <c r="A24" s="19">
        <f t="shared" si="0"/>
        <v>12</v>
      </c>
      <c r="B24" s="14" t="s">
        <v>32</v>
      </c>
      <c r="C24" s="15" t="s">
        <v>21</v>
      </c>
      <c r="D24" s="16">
        <v>9963931330</v>
      </c>
      <c r="E24" s="18" t="s">
        <v>49</v>
      </c>
      <c r="F24" s="18" t="s">
        <v>54</v>
      </c>
      <c r="G24" s="21">
        <v>0</v>
      </c>
      <c r="H24" s="18" t="s">
        <v>53</v>
      </c>
    </row>
    <row r="25" spans="1:8" x14ac:dyDescent="0.25">
      <c r="A25" s="19">
        <f t="shared" si="0"/>
        <v>13</v>
      </c>
      <c r="B25" s="14" t="s">
        <v>33</v>
      </c>
      <c r="C25" s="15" t="s">
        <v>21</v>
      </c>
      <c r="D25" s="16">
        <v>9709383648</v>
      </c>
      <c r="E25" s="18" t="s">
        <v>49</v>
      </c>
      <c r="F25" s="18" t="s">
        <v>51</v>
      </c>
      <c r="G25" s="21">
        <v>17</v>
      </c>
      <c r="H25" s="18" t="s">
        <v>53</v>
      </c>
    </row>
    <row r="26" spans="1:8" x14ac:dyDescent="0.25">
      <c r="A26" s="19">
        <f t="shared" si="0"/>
        <v>14</v>
      </c>
      <c r="B26" s="14" t="s">
        <v>34</v>
      </c>
      <c r="C26" s="15" t="s">
        <v>43</v>
      </c>
      <c r="D26" s="16">
        <v>9966404115</v>
      </c>
      <c r="E26" s="18"/>
      <c r="F26" s="18" t="s">
        <v>51</v>
      </c>
      <c r="G26" s="21">
        <v>8</v>
      </c>
      <c r="H26" s="18" t="s">
        <v>53</v>
      </c>
    </row>
    <row r="27" spans="1:8" x14ac:dyDescent="0.25">
      <c r="A27" s="19">
        <f t="shared" si="0"/>
        <v>15</v>
      </c>
      <c r="B27" s="14" t="s">
        <v>35</v>
      </c>
      <c r="C27" s="15" t="s">
        <v>43</v>
      </c>
      <c r="D27" s="16">
        <v>9568412563</v>
      </c>
      <c r="E27" s="18" t="s">
        <v>49</v>
      </c>
      <c r="F27" s="18" t="s">
        <v>54</v>
      </c>
      <c r="G27" s="21">
        <v>9</v>
      </c>
      <c r="H27" s="18"/>
    </row>
    <row r="28" spans="1:8" x14ac:dyDescent="0.25">
      <c r="A28" s="19">
        <f t="shared" si="0"/>
        <v>16</v>
      </c>
      <c r="B28" s="13" t="s">
        <v>36</v>
      </c>
      <c r="C28" s="15" t="s">
        <v>45</v>
      </c>
      <c r="D28" s="16"/>
      <c r="E28" s="18" t="s">
        <v>49</v>
      </c>
      <c r="F28" s="18"/>
      <c r="G28" s="21"/>
      <c r="H28" s="18" t="s">
        <v>52</v>
      </c>
    </row>
    <row r="29" spans="1:8" x14ac:dyDescent="0.25">
      <c r="A29" s="19">
        <f t="shared" si="0"/>
        <v>17</v>
      </c>
      <c r="B29" s="14" t="s">
        <v>37</v>
      </c>
      <c r="C29" s="15" t="s">
        <v>45</v>
      </c>
      <c r="D29" s="16">
        <v>9000106905</v>
      </c>
      <c r="E29" s="18" t="s">
        <v>50</v>
      </c>
      <c r="F29" s="18" t="s">
        <v>51</v>
      </c>
      <c r="G29" s="21"/>
      <c r="H29" s="18" t="s">
        <v>53</v>
      </c>
    </row>
    <row r="30" spans="1:8" x14ac:dyDescent="0.25">
      <c r="A30" s="19">
        <f t="shared" si="0"/>
        <v>18</v>
      </c>
      <c r="B30" s="14" t="s">
        <v>38</v>
      </c>
      <c r="C30" s="15"/>
      <c r="D30" s="16">
        <v>7674898444</v>
      </c>
      <c r="E30" s="18" t="s">
        <v>50</v>
      </c>
      <c r="F30" s="18" t="s">
        <v>54</v>
      </c>
      <c r="G30" s="21">
        <v>44</v>
      </c>
      <c r="H30" s="18" t="s">
        <v>53</v>
      </c>
    </row>
    <row r="31" spans="1:8" x14ac:dyDescent="0.25">
      <c r="A31" s="19">
        <f t="shared" si="0"/>
        <v>19</v>
      </c>
      <c r="B31" s="13" t="s">
        <v>39</v>
      </c>
      <c r="C31" s="15" t="s">
        <v>43</v>
      </c>
      <c r="D31" s="16">
        <v>4589635468</v>
      </c>
      <c r="E31" s="18" t="s">
        <v>50</v>
      </c>
      <c r="F31" s="18" t="s">
        <v>54</v>
      </c>
      <c r="G31" s="21">
        <v>0</v>
      </c>
      <c r="H31" s="18" t="s">
        <v>52</v>
      </c>
    </row>
    <row r="32" spans="1:8" x14ac:dyDescent="0.25">
      <c r="A32" s="19">
        <f t="shared" si="0"/>
        <v>20</v>
      </c>
      <c r="B32" s="17" t="s">
        <v>40</v>
      </c>
      <c r="C32" s="15" t="s">
        <v>41</v>
      </c>
      <c r="D32" s="16">
        <v>9492490773</v>
      </c>
      <c r="E32" s="18" t="s">
        <v>49</v>
      </c>
      <c r="F32" s="18" t="s">
        <v>51</v>
      </c>
      <c r="G32" s="21">
        <v>49</v>
      </c>
      <c r="H32" s="18" t="s">
        <v>53</v>
      </c>
    </row>
    <row r="33" spans="1:8" x14ac:dyDescent="0.25">
      <c r="A33" t="s">
        <v>19</v>
      </c>
      <c r="B33">
        <f>SUBTOTAL(103,Table5[NAME OF THE CONTRACTOR])</f>
        <v>20</v>
      </c>
      <c r="C33">
        <f>SUBTOTAL(103,Table5[REFERENCE])</f>
        <v>17</v>
      </c>
      <c r="D33">
        <f>SUBTOTAL(103,Table5[MOBILE NUMBER])</f>
        <v>17</v>
      </c>
      <c r="E33">
        <f>SUBTOTAL(103,Table5[STATUS])</f>
        <v>18</v>
      </c>
      <c r="F33">
        <f>SUBTOTAL(103,Table5[BRANCH NAME/BRANCH CODE])</f>
        <v>16</v>
      </c>
      <c r="G33" s="23">
        <f>SUBTOTAL(109,Table5[NOS])</f>
        <v>223</v>
      </c>
      <c r="H33">
        <f>SUBTOTAL(103,Table5[REMARK])</f>
        <v>17</v>
      </c>
    </row>
    <row r="34" spans="1:8" x14ac:dyDescent="0.25">
      <c r="G34" s="4"/>
    </row>
  </sheetData>
  <mergeCells count="6">
    <mergeCell ref="G2:H9"/>
    <mergeCell ref="F2:F9"/>
    <mergeCell ref="B2:C9"/>
    <mergeCell ref="D2:E4"/>
    <mergeCell ref="D5:E6"/>
    <mergeCell ref="D7:E9"/>
  </mergeCells>
  <conditionalFormatting sqref="B16">
    <cfRule type="duplicateValues" dxfId="37" priority="10"/>
  </conditionalFormatting>
  <conditionalFormatting sqref="B16">
    <cfRule type="duplicateValues" dxfId="36" priority="11"/>
    <cfRule type="duplicateValues" dxfId="35" priority="12"/>
  </conditionalFormatting>
  <conditionalFormatting sqref="B13:B14 B17:B24 B29:B30 B26:B27">
    <cfRule type="duplicateValues" dxfId="34" priority="16"/>
    <cfRule type="duplicateValues" dxfId="33" priority="17"/>
  </conditionalFormatting>
  <conditionalFormatting sqref="B28">
    <cfRule type="duplicateValues" dxfId="32" priority="7"/>
    <cfRule type="duplicateValues" dxfId="31" priority="8"/>
  </conditionalFormatting>
  <conditionalFormatting sqref="B28">
    <cfRule type="duplicateValues" dxfId="30" priority="9"/>
  </conditionalFormatting>
  <conditionalFormatting sqref="B25">
    <cfRule type="duplicateValues" dxfId="29" priority="1"/>
  </conditionalFormatting>
  <conditionalFormatting sqref="B25">
    <cfRule type="duplicateValues" dxfId="28" priority="2"/>
    <cfRule type="duplicateValues" dxfId="27" priority="3"/>
  </conditionalFormatting>
  <conditionalFormatting sqref="B17:B24 B13:B14 B29:B30 B26:B27">
    <cfRule type="duplicateValues" dxfId="26" priority="18"/>
  </conditionalFormatting>
  <conditionalFormatting sqref="B32">
    <cfRule type="duplicateValues" dxfId="25" priority="19"/>
    <cfRule type="duplicateValues" dxfId="24" priority="20"/>
  </conditionalFormatting>
  <conditionalFormatting sqref="B32">
    <cfRule type="duplicateValues" dxfId="23" priority="21"/>
  </conditionalFormatting>
  <conditionalFormatting sqref="B31">
    <cfRule type="duplicateValues" dxfId="22" priority="22"/>
    <cfRule type="duplicateValues" dxfId="21" priority="23"/>
  </conditionalFormatting>
  <conditionalFormatting sqref="B31">
    <cfRule type="duplicateValues" dxfId="20" priority="24"/>
  </conditionalFormatting>
  <pageMargins left="0.70866141732283472" right="0.70866141732283472" top="0.74803149606299213" bottom="0.74803149606299213" header="0.31496062992125984" footer="0.31496062992125984"/>
  <pageSetup paperSize="3" fitToWidth="0" fitToHeight="0" orientation="portrait" r:id="rId1"/>
  <rowBreaks count="1" manualBreakCount="1">
    <brk id="1" max="16383" man="1"/>
  </rowBreaks>
  <colBreaks count="1" manualBreakCount="1">
    <brk id="1" max="1048575" man="1"/>
  </colBreak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3:K107"/>
  <sheetViews>
    <sheetView topLeftCell="A109" workbookViewId="0">
      <selection activeCell="D4" sqref="D4"/>
    </sheetView>
  </sheetViews>
  <sheetFormatPr defaultRowHeight="15" x14ac:dyDescent="0.25"/>
  <cols>
    <col min="1" max="1" width="7.5703125" customWidth="1"/>
    <col min="2" max="2" width="26.140625" customWidth="1"/>
    <col min="3" max="3" width="20.42578125" bestFit="1" customWidth="1"/>
    <col min="4" max="4" width="27.140625" customWidth="1"/>
    <col min="5" max="5" width="20.7109375" customWidth="1"/>
    <col min="6" max="6" width="21.85546875" customWidth="1"/>
    <col min="7" max="7" width="19.140625" customWidth="1"/>
  </cols>
  <sheetData>
    <row r="3" spans="1:11" s="2" customFormat="1" ht="27" customHeight="1" x14ac:dyDescent="0.25">
      <c r="A3" s="6" t="s">
        <v>11</v>
      </c>
      <c r="B3" s="3" t="s">
        <v>1</v>
      </c>
      <c r="C3" s="3" t="s">
        <v>2</v>
      </c>
      <c r="D3" s="3" t="s">
        <v>3</v>
      </c>
      <c r="E3" s="3" t="s">
        <v>4</v>
      </c>
      <c r="F3" s="2" t="s">
        <v>12</v>
      </c>
      <c r="G3" s="2" t="s">
        <v>13</v>
      </c>
      <c r="H3" s="2" t="s">
        <v>7</v>
      </c>
      <c r="I3" s="2" t="s">
        <v>8</v>
      </c>
      <c r="J3" s="2" t="s">
        <v>9</v>
      </c>
      <c r="K3" s="2" t="s">
        <v>10</v>
      </c>
    </row>
    <row r="4" spans="1:1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ht="14.25" customHeight="1" x14ac:dyDescent="0.25">
      <c r="A5">
        <f t="shared" ref="A5:A25" si="0">+A4+1</f>
        <v>1</v>
      </c>
      <c r="B5" t="s">
        <v>17</v>
      </c>
      <c r="C5">
        <v>6305624856</v>
      </c>
      <c r="D5" s="7" t="s">
        <v>18</v>
      </c>
      <c r="E5" t="s">
        <v>14</v>
      </c>
      <c r="F5" t="s">
        <v>15</v>
      </c>
      <c r="G5" t="s">
        <v>16</v>
      </c>
    </row>
    <row r="6" spans="1:11" x14ac:dyDescent="0.25">
      <c r="A6">
        <f t="shared" si="0"/>
        <v>2</v>
      </c>
      <c r="D6" s="1"/>
    </row>
    <row r="7" spans="1:11" x14ac:dyDescent="0.25">
      <c r="A7">
        <f t="shared" si="0"/>
        <v>3</v>
      </c>
    </row>
    <row r="8" spans="1:11" x14ac:dyDescent="0.25">
      <c r="A8">
        <f t="shared" si="0"/>
        <v>4</v>
      </c>
    </row>
    <row r="9" spans="1:11" x14ac:dyDescent="0.25">
      <c r="A9">
        <f t="shared" si="0"/>
        <v>5</v>
      </c>
    </row>
    <row r="10" spans="1:11" x14ac:dyDescent="0.25">
      <c r="A10">
        <f t="shared" si="0"/>
        <v>6</v>
      </c>
    </row>
    <row r="11" spans="1:11" x14ac:dyDescent="0.25">
      <c r="A11">
        <f t="shared" si="0"/>
        <v>7</v>
      </c>
    </row>
    <row r="12" spans="1:11" x14ac:dyDescent="0.25">
      <c r="A12">
        <f t="shared" si="0"/>
        <v>8</v>
      </c>
    </row>
    <row r="13" spans="1:11" x14ac:dyDescent="0.25">
      <c r="A13">
        <f t="shared" si="0"/>
        <v>9</v>
      </c>
    </row>
    <row r="14" spans="1:11" x14ac:dyDescent="0.25">
      <c r="A14">
        <f t="shared" si="0"/>
        <v>10</v>
      </c>
    </row>
    <row r="15" spans="1:11" x14ac:dyDescent="0.25">
      <c r="A15">
        <f t="shared" si="0"/>
        <v>11</v>
      </c>
    </row>
    <row r="16" spans="1:11" x14ac:dyDescent="0.25">
      <c r="A16">
        <f t="shared" si="0"/>
        <v>12</v>
      </c>
    </row>
    <row r="17" spans="1:1" x14ac:dyDescent="0.25">
      <c r="A17">
        <f t="shared" si="0"/>
        <v>13</v>
      </c>
    </row>
    <row r="18" spans="1:1" x14ac:dyDescent="0.25">
      <c r="A18">
        <f t="shared" si="0"/>
        <v>14</v>
      </c>
    </row>
    <row r="19" spans="1:1" x14ac:dyDescent="0.25">
      <c r="A19">
        <f t="shared" si="0"/>
        <v>15</v>
      </c>
    </row>
    <row r="20" spans="1:1" x14ac:dyDescent="0.25">
      <c r="A20">
        <f t="shared" si="0"/>
        <v>16</v>
      </c>
    </row>
    <row r="21" spans="1:1" x14ac:dyDescent="0.25">
      <c r="A21">
        <f t="shared" si="0"/>
        <v>17</v>
      </c>
    </row>
    <row r="22" spans="1:1" x14ac:dyDescent="0.25">
      <c r="A22">
        <f t="shared" si="0"/>
        <v>18</v>
      </c>
    </row>
    <row r="23" spans="1:1" x14ac:dyDescent="0.25">
      <c r="A23">
        <f t="shared" si="0"/>
        <v>19</v>
      </c>
    </row>
    <row r="24" spans="1:1" x14ac:dyDescent="0.25">
      <c r="A24">
        <f t="shared" si="0"/>
        <v>20</v>
      </c>
    </row>
    <row r="25" spans="1:1" x14ac:dyDescent="0.25">
      <c r="A25">
        <f t="shared" si="0"/>
        <v>21</v>
      </c>
    </row>
    <row r="26" spans="1:1" x14ac:dyDescent="0.25">
      <c r="A26" s="4">
        <f t="shared" ref="A26:A57" si="1">+A25+1</f>
        <v>22</v>
      </c>
    </row>
    <row r="27" spans="1:1" x14ac:dyDescent="0.25">
      <c r="A27" s="4">
        <f t="shared" si="1"/>
        <v>23</v>
      </c>
    </row>
    <row r="28" spans="1:1" x14ac:dyDescent="0.25">
      <c r="A28" s="4">
        <f t="shared" si="1"/>
        <v>24</v>
      </c>
    </row>
    <row r="29" spans="1:1" x14ac:dyDescent="0.25">
      <c r="A29" s="4">
        <f t="shared" si="1"/>
        <v>25</v>
      </c>
    </row>
    <row r="30" spans="1:1" x14ac:dyDescent="0.25">
      <c r="A30" s="4">
        <f t="shared" si="1"/>
        <v>26</v>
      </c>
    </row>
    <row r="31" spans="1:1" x14ac:dyDescent="0.25">
      <c r="A31" s="4">
        <f t="shared" si="1"/>
        <v>27</v>
      </c>
    </row>
    <row r="32" spans="1:1" x14ac:dyDescent="0.25">
      <c r="A32" s="4">
        <f t="shared" si="1"/>
        <v>28</v>
      </c>
    </row>
    <row r="33" spans="1:1" x14ac:dyDescent="0.25">
      <c r="A33" s="4">
        <f t="shared" si="1"/>
        <v>29</v>
      </c>
    </row>
    <row r="34" spans="1:1" x14ac:dyDescent="0.25">
      <c r="A34" s="4">
        <f t="shared" si="1"/>
        <v>30</v>
      </c>
    </row>
    <row r="35" spans="1:1" x14ac:dyDescent="0.25">
      <c r="A35" s="4">
        <f t="shared" si="1"/>
        <v>31</v>
      </c>
    </row>
    <row r="36" spans="1:1" x14ac:dyDescent="0.25">
      <c r="A36" s="4">
        <f t="shared" si="1"/>
        <v>32</v>
      </c>
    </row>
    <row r="37" spans="1:1" x14ac:dyDescent="0.25">
      <c r="A37" s="4">
        <f t="shared" si="1"/>
        <v>33</v>
      </c>
    </row>
    <row r="38" spans="1:1" x14ac:dyDescent="0.25">
      <c r="A38" s="4">
        <f t="shared" si="1"/>
        <v>34</v>
      </c>
    </row>
    <row r="39" spans="1:1" x14ac:dyDescent="0.25">
      <c r="A39" s="4">
        <f t="shared" si="1"/>
        <v>35</v>
      </c>
    </row>
    <row r="40" spans="1:1" x14ac:dyDescent="0.25">
      <c r="A40" s="4">
        <f t="shared" si="1"/>
        <v>36</v>
      </c>
    </row>
    <row r="41" spans="1:1" x14ac:dyDescent="0.25">
      <c r="A41" s="4">
        <f t="shared" si="1"/>
        <v>37</v>
      </c>
    </row>
    <row r="42" spans="1:1" x14ac:dyDescent="0.25">
      <c r="A42" s="4">
        <f t="shared" si="1"/>
        <v>38</v>
      </c>
    </row>
    <row r="43" spans="1:1" x14ac:dyDescent="0.25">
      <c r="A43" s="4">
        <f t="shared" si="1"/>
        <v>39</v>
      </c>
    </row>
    <row r="44" spans="1:1" x14ac:dyDescent="0.25">
      <c r="A44" s="4">
        <f t="shared" si="1"/>
        <v>40</v>
      </c>
    </row>
    <row r="45" spans="1:1" x14ac:dyDescent="0.25">
      <c r="A45" s="4">
        <f t="shared" si="1"/>
        <v>41</v>
      </c>
    </row>
    <row r="46" spans="1:1" x14ac:dyDescent="0.25">
      <c r="A46" s="4">
        <f t="shared" si="1"/>
        <v>42</v>
      </c>
    </row>
    <row r="47" spans="1:1" x14ac:dyDescent="0.25">
      <c r="A47" s="4">
        <f t="shared" si="1"/>
        <v>43</v>
      </c>
    </row>
    <row r="48" spans="1:1" x14ac:dyDescent="0.25">
      <c r="A48" s="4">
        <f t="shared" si="1"/>
        <v>44</v>
      </c>
    </row>
    <row r="49" spans="1:1" x14ac:dyDescent="0.25">
      <c r="A49" s="4">
        <f t="shared" si="1"/>
        <v>45</v>
      </c>
    </row>
    <row r="50" spans="1:1" x14ac:dyDescent="0.25">
      <c r="A50" s="4">
        <f t="shared" si="1"/>
        <v>46</v>
      </c>
    </row>
    <row r="51" spans="1:1" x14ac:dyDescent="0.25">
      <c r="A51" s="4">
        <f t="shared" si="1"/>
        <v>47</v>
      </c>
    </row>
    <row r="52" spans="1:1" x14ac:dyDescent="0.25">
      <c r="A52" s="4">
        <f t="shared" si="1"/>
        <v>48</v>
      </c>
    </row>
    <row r="53" spans="1:1" x14ac:dyDescent="0.25">
      <c r="A53" s="4">
        <f t="shared" si="1"/>
        <v>49</v>
      </c>
    </row>
    <row r="54" spans="1:1" x14ac:dyDescent="0.25">
      <c r="A54" s="4">
        <f t="shared" si="1"/>
        <v>50</v>
      </c>
    </row>
    <row r="55" spans="1:1" x14ac:dyDescent="0.25">
      <c r="A55" s="4">
        <f t="shared" si="1"/>
        <v>51</v>
      </c>
    </row>
    <row r="56" spans="1:1" x14ac:dyDescent="0.25">
      <c r="A56" s="4">
        <f t="shared" si="1"/>
        <v>52</v>
      </c>
    </row>
    <row r="57" spans="1:1" x14ac:dyDescent="0.25">
      <c r="A57" s="4">
        <f t="shared" si="1"/>
        <v>53</v>
      </c>
    </row>
    <row r="58" spans="1:1" x14ac:dyDescent="0.25">
      <c r="A58" s="4">
        <f t="shared" ref="A58:A89" si="2">+A57+1</f>
        <v>54</v>
      </c>
    </row>
    <row r="59" spans="1:1" x14ac:dyDescent="0.25">
      <c r="A59" s="4">
        <f t="shared" si="2"/>
        <v>55</v>
      </c>
    </row>
    <row r="60" spans="1:1" x14ac:dyDescent="0.25">
      <c r="A60" s="4">
        <f t="shared" si="2"/>
        <v>56</v>
      </c>
    </row>
    <row r="61" spans="1:1" x14ac:dyDescent="0.25">
      <c r="A61" s="4">
        <f t="shared" si="2"/>
        <v>57</v>
      </c>
    </row>
    <row r="62" spans="1:1" x14ac:dyDescent="0.25">
      <c r="A62" s="4">
        <f t="shared" si="2"/>
        <v>58</v>
      </c>
    </row>
    <row r="63" spans="1:1" x14ac:dyDescent="0.25">
      <c r="A63" s="4">
        <f t="shared" si="2"/>
        <v>59</v>
      </c>
    </row>
    <row r="64" spans="1:1" x14ac:dyDescent="0.25">
      <c r="A64" s="4">
        <f t="shared" si="2"/>
        <v>60</v>
      </c>
    </row>
    <row r="65" spans="1:1" x14ac:dyDescent="0.25">
      <c r="A65" s="4">
        <f t="shared" si="2"/>
        <v>61</v>
      </c>
    </row>
    <row r="66" spans="1:1" x14ac:dyDescent="0.25">
      <c r="A66" s="4">
        <f t="shared" si="2"/>
        <v>62</v>
      </c>
    </row>
    <row r="67" spans="1:1" x14ac:dyDescent="0.25">
      <c r="A67" s="4">
        <f t="shared" si="2"/>
        <v>63</v>
      </c>
    </row>
    <row r="68" spans="1:1" x14ac:dyDescent="0.25">
      <c r="A68" s="4">
        <f t="shared" si="2"/>
        <v>64</v>
      </c>
    </row>
    <row r="69" spans="1:1" x14ac:dyDescent="0.25">
      <c r="A69" s="4">
        <f t="shared" si="2"/>
        <v>65</v>
      </c>
    </row>
    <row r="70" spans="1:1" x14ac:dyDescent="0.25">
      <c r="A70" s="4">
        <f t="shared" si="2"/>
        <v>66</v>
      </c>
    </row>
    <row r="71" spans="1:1" x14ac:dyDescent="0.25">
      <c r="A71" s="4">
        <f t="shared" si="2"/>
        <v>67</v>
      </c>
    </row>
    <row r="72" spans="1:1" x14ac:dyDescent="0.25">
      <c r="A72" s="4">
        <f t="shared" si="2"/>
        <v>68</v>
      </c>
    </row>
    <row r="73" spans="1:1" x14ac:dyDescent="0.25">
      <c r="A73" s="4">
        <f t="shared" si="2"/>
        <v>69</v>
      </c>
    </row>
    <row r="74" spans="1:1" x14ac:dyDescent="0.25">
      <c r="A74" s="4">
        <f t="shared" si="2"/>
        <v>70</v>
      </c>
    </row>
    <row r="75" spans="1:1" x14ac:dyDescent="0.25">
      <c r="A75" s="4">
        <f t="shared" si="2"/>
        <v>71</v>
      </c>
    </row>
    <row r="76" spans="1:1" x14ac:dyDescent="0.25">
      <c r="A76" s="4">
        <f t="shared" si="2"/>
        <v>72</v>
      </c>
    </row>
    <row r="77" spans="1:1" x14ac:dyDescent="0.25">
      <c r="A77" s="4">
        <f t="shared" si="2"/>
        <v>73</v>
      </c>
    </row>
    <row r="78" spans="1:1" x14ac:dyDescent="0.25">
      <c r="A78" s="4">
        <f t="shared" si="2"/>
        <v>74</v>
      </c>
    </row>
    <row r="79" spans="1:1" x14ac:dyDescent="0.25">
      <c r="A79" s="4">
        <f t="shared" si="2"/>
        <v>75</v>
      </c>
    </row>
    <row r="80" spans="1:1" x14ac:dyDescent="0.25">
      <c r="A80" s="4">
        <f t="shared" si="2"/>
        <v>76</v>
      </c>
    </row>
    <row r="81" spans="1:1" x14ac:dyDescent="0.25">
      <c r="A81" s="4">
        <f t="shared" si="2"/>
        <v>77</v>
      </c>
    </row>
    <row r="82" spans="1:1" x14ac:dyDescent="0.25">
      <c r="A82" s="4">
        <f t="shared" si="2"/>
        <v>78</v>
      </c>
    </row>
    <row r="83" spans="1:1" x14ac:dyDescent="0.25">
      <c r="A83" s="4">
        <f t="shared" si="2"/>
        <v>79</v>
      </c>
    </row>
    <row r="84" spans="1:1" x14ac:dyDescent="0.25">
      <c r="A84" s="4">
        <f t="shared" si="2"/>
        <v>80</v>
      </c>
    </row>
    <row r="85" spans="1:1" x14ac:dyDescent="0.25">
      <c r="A85" s="4">
        <f t="shared" si="2"/>
        <v>81</v>
      </c>
    </row>
    <row r="86" spans="1:1" x14ac:dyDescent="0.25">
      <c r="A86" s="4">
        <f t="shared" si="2"/>
        <v>82</v>
      </c>
    </row>
    <row r="87" spans="1:1" x14ac:dyDescent="0.25">
      <c r="A87" s="4">
        <f t="shared" si="2"/>
        <v>83</v>
      </c>
    </row>
    <row r="88" spans="1:1" x14ac:dyDescent="0.25">
      <c r="A88" s="4">
        <f t="shared" si="2"/>
        <v>84</v>
      </c>
    </row>
    <row r="89" spans="1:1" x14ac:dyDescent="0.25">
      <c r="A89" s="4">
        <f t="shared" si="2"/>
        <v>85</v>
      </c>
    </row>
    <row r="90" spans="1:1" x14ac:dyDescent="0.25">
      <c r="A90" s="4">
        <f t="shared" ref="A90:A100" si="3">+A89+1</f>
        <v>86</v>
      </c>
    </row>
    <row r="91" spans="1:1" x14ac:dyDescent="0.25">
      <c r="A91" s="4">
        <f t="shared" si="3"/>
        <v>87</v>
      </c>
    </row>
    <row r="92" spans="1:1" x14ac:dyDescent="0.25">
      <c r="A92" s="4">
        <f t="shared" si="3"/>
        <v>88</v>
      </c>
    </row>
    <row r="93" spans="1:1" x14ac:dyDescent="0.25">
      <c r="A93" s="4">
        <f t="shared" si="3"/>
        <v>89</v>
      </c>
    </row>
    <row r="94" spans="1:1" x14ac:dyDescent="0.25">
      <c r="A94" s="4">
        <f t="shared" si="3"/>
        <v>90</v>
      </c>
    </row>
    <row r="95" spans="1:1" x14ac:dyDescent="0.25">
      <c r="A95" s="4">
        <f t="shared" si="3"/>
        <v>91</v>
      </c>
    </row>
    <row r="96" spans="1:1" x14ac:dyDescent="0.25">
      <c r="A96" s="4">
        <f t="shared" si="3"/>
        <v>92</v>
      </c>
    </row>
    <row r="97" spans="1:1" x14ac:dyDescent="0.25">
      <c r="A97" s="4">
        <f t="shared" si="3"/>
        <v>93</v>
      </c>
    </row>
    <row r="98" spans="1:1" x14ac:dyDescent="0.25">
      <c r="A98" s="4">
        <f t="shared" si="3"/>
        <v>94</v>
      </c>
    </row>
    <row r="99" spans="1:1" x14ac:dyDescent="0.25">
      <c r="A99" s="4">
        <f t="shared" si="3"/>
        <v>95</v>
      </c>
    </row>
    <row r="100" spans="1:1" x14ac:dyDescent="0.25">
      <c r="A100" s="4">
        <f t="shared" si="3"/>
        <v>96</v>
      </c>
    </row>
    <row r="101" spans="1:1" x14ac:dyDescent="0.25">
      <c r="A101" s="4">
        <f t="shared" ref="A101:A104" si="4">+A100+1</f>
        <v>97</v>
      </c>
    </row>
    <row r="102" spans="1:1" x14ac:dyDescent="0.25">
      <c r="A102" s="4">
        <f t="shared" si="4"/>
        <v>98</v>
      </c>
    </row>
    <row r="103" spans="1:1" x14ac:dyDescent="0.25">
      <c r="A103" s="4">
        <f t="shared" si="4"/>
        <v>99</v>
      </c>
    </row>
    <row r="104" spans="1:1" x14ac:dyDescent="0.25">
      <c r="A104" s="4">
        <f t="shared" si="4"/>
        <v>100</v>
      </c>
    </row>
    <row r="105" spans="1:1" x14ac:dyDescent="0.25">
      <c r="A105" s="4"/>
    </row>
    <row r="106" spans="1:1" x14ac:dyDescent="0.25">
      <c r="A106" s="4"/>
    </row>
    <row r="107" spans="1:1" x14ac:dyDescent="0.25">
      <c r="A107" s="4"/>
    </row>
  </sheetData>
  <hyperlinks>
    <hyperlink ref="D5" r:id="rId1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W64"/>
  <sheetViews>
    <sheetView topLeftCell="A12" zoomScaleNormal="100" workbookViewId="0">
      <selection activeCell="B5" sqref="B5:D35"/>
    </sheetView>
  </sheetViews>
  <sheetFormatPr defaultRowHeight="15" x14ac:dyDescent="0.25"/>
  <cols>
    <col min="2" max="3" width="11" customWidth="1"/>
  </cols>
  <sheetData>
    <row r="2" spans="2:23" x14ac:dyDescent="0.25">
      <c r="B2" s="57"/>
      <c r="C2" s="57"/>
    </row>
    <row r="3" spans="2:23" x14ac:dyDescent="0.25">
      <c r="B3" s="26" t="s">
        <v>58</v>
      </c>
      <c r="C3" s="27" t="s">
        <v>66</v>
      </c>
      <c r="D3" s="28" t="s">
        <v>67</v>
      </c>
      <c r="F3" s="61"/>
      <c r="G3" s="61"/>
      <c r="H3" s="61"/>
      <c r="I3" s="61"/>
      <c r="J3" s="61"/>
      <c r="K3" s="61"/>
      <c r="L3" s="61"/>
      <c r="M3" s="61"/>
      <c r="N3" s="62"/>
      <c r="O3" s="62"/>
      <c r="P3" s="62"/>
      <c r="Q3" s="62"/>
      <c r="R3" s="62"/>
      <c r="S3" s="62"/>
      <c r="T3" s="62"/>
      <c r="U3" s="62"/>
      <c r="V3" s="62"/>
      <c r="W3" s="62"/>
    </row>
    <row r="4" spans="2:23" x14ac:dyDescent="0.25">
      <c r="B4" s="26"/>
      <c r="C4" s="26"/>
      <c r="D4" s="26"/>
      <c r="F4" s="61"/>
      <c r="G4" s="61"/>
      <c r="H4" s="61"/>
      <c r="I4" s="61"/>
      <c r="J4" s="61"/>
      <c r="K4" s="61"/>
      <c r="L4" s="61"/>
      <c r="M4" s="61"/>
      <c r="N4" s="62"/>
      <c r="O4" s="62"/>
      <c r="P4" s="62"/>
      <c r="Q4" s="62"/>
      <c r="R4" s="62"/>
      <c r="S4" s="62"/>
      <c r="T4" s="62"/>
      <c r="U4" s="62"/>
      <c r="V4" s="62"/>
      <c r="W4" s="62"/>
    </row>
    <row r="5" spans="2:23" x14ac:dyDescent="0.25">
      <c r="B5" s="24" t="s">
        <v>59</v>
      </c>
      <c r="C5" s="25">
        <v>20</v>
      </c>
      <c r="D5" s="25">
        <v>56</v>
      </c>
      <c r="F5" s="61"/>
      <c r="G5" s="61"/>
      <c r="H5" s="61"/>
      <c r="I5" s="61"/>
      <c r="J5" s="61"/>
      <c r="K5" s="61"/>
      <c r="L5" s="61"/>
      <c r="M5" s="61"/>
      <c r="N5" s="62"/>
      <c r="O5" s="62"/>
      <c r="P5" s="62"/>
      <c r="Q5" s="62"/>
      <c r="R5" s="62"/>
      <c r="S5" s="62"/>
      <c r="T5" s="62"/>
      <c r="U5" s="62"/>
      <c r="V5" s="62"/>
      <c r="W5" s="62"/>
    </row>
    <row r="6" spans="2:23" x14ac:dyDescent="0.25">
      <c r="B6" s="24" t="s">
        <v>60</v>
      </c>
      <c r="C6" s="25">
        <v>24</v>
      </c>
      <c r="D6" s="25">
        <v>54</v>
      </c>
      <c r="F6" s="61"/>
      <c r="G6" s="61"/>
      <c r="H6" s="61"/>
      <c r="I6" s="61"/>
      <c r="J6" s="61"/>
      <c r="K6" s="61"/>
      <c r="L6" s="61"/>
      <c r="M6" s="61"/>
      <c r="N6" s="62"/>
      <c r="O6" s="62"/>
      <c r="P6" s="62"/>
      <c r="Q6" s="62"/>
      <c r="R6" s="62"/>
      <c r="S6" s="62"/>
      <c r="T6" s="62"/>
      <c r="U6" s="62"/>
      <c r="V6" s="62"/>
      <c r="W6" s="62"/>
    </row>
    <row r="7" spans="2:23" x14ac:dyDescent="0.25">
      <c r="B7" s="24" t="s">
        <v>61</v>
      </c>
      <c r="C7" s="25">
        <v>23</v>
      </c>
      <c r="D7" s="25">
        <v>58</v>
      </c>
      <c r="F7" s="61"/>
      <c r="G7" s="61"/>
      <c r="H7" s="61"/>
      <c r="I7" s="61"/>
      <c r="J7" s="61"/>
      <c r="K7" s="61"/>
      <c r="L7" s="61"/>
      <c r="M7" s="61"/>
      <c r="N7" s="62"/>
      <c r="O7" s="62"/>
      <c r="P7" s="62"/>
      <c r="Q7" s="62"/>
      <c r="R7" s="62"/>
      <c r="S7" s="62"/>
      <c r="T7" s="62"/>
      <c r="U7" s="62"/>
      <c r="V7" s="62"/>
      <c r="W7" s="62"/>
    </row>
    <row r="8" spans="2:23" x14ac:dyDescent="0.25">
      <c r="B8" s="24" t="s">
        <v>62</v>
      </c>
      <c r="C8" s="25">
        <v>24</v>
      </c>
      <c r="D8" s="25">
        <v>57</v>
      </c>
      <c r="F8" s="61"/>
      <c r="G8" s="61"/>
      <c r="H8" s="61"/>
      <c r="I8" s="61"/>
      <c r="J8" s="61"/>
      <c r="K8" s="61"/>
      <c r="L8" s="61"/>
      <c r="M8" s="61"/>
      <c r="N8" s="62"/>
      <c r="O8" s="62"/>
      <c r="P8" s="62"/>
      <c r="Q8" s="62"/>
      <c r="R8" s="62"/>
      <c r="S8" s="62"/>
      <c r="T8" s="62"/>
      <c r="U8" s="62"/>
      <c r="V8" s="62"/>
      <c r="W8" s="62"/>
    </row>
    <row r="9" spans="2:23" x14ac:dyDescent="0.25">
      <c r="B9" s="24" t="s">
        <v>63</v>
      </c>
      <c r="C9" s="25">
        <v>24</v>
      </c>
      <c r="D9" s="25">
        <v>51</v>
      </c>
      <c r="F9" s="61"/>
      <c r="G9" s="61"/>
      <c r="H9" s="61"/>
      <c r="I9" s="61"/>
      <c r="J9" s="61"/>
      <c r="K9" s="61"/>
      <c r="L9" s="61"/>
      <c r="M9" s="61"/>
      <c r="N9" s="62"/>
      <c r="O9" s="62"/>
      <c r="P9" s="62"/>
      <c r="Q9" s="62"/>
      <c r="R9" s="62"/>
      <c r="S9" s="62"/>
      <c r="T9" s="62"/>
      <c r="U9" s="62"/>
      <c r="V9" s="62"/>
      <c r="W9" s="62"/>
    </row>
    <row r="10" spans="2:23" x14ac:dyDescent="0.25">
      <c r="B10" s="24" t="s">
        <v>64</v>
      </c>
      <c r="C10" s="25">
        <v>23</v>
      </c>
      <c r="D10" s="25">
        <v>65</v>
      </c>
      <c r="F10" s="61"/>
      <c r="G10" s="61"/>
      <c r="H10" s="61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</row>
    <row r="11" spans="2:23" x14ac:dyDescent="0.25">
      <c r="B11" s="24" t="s">
        <v>65</v>
      </c>
      <c r="C11" s="25">
        <v>26</v>
      </c>
      <c r="D11" s="25">
        <v>35</v>
      </c>
      <c r="F11" s="61"/>
      <c r="G11" s="61"/>
      <c r="H11" s="61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</row>
    <row r="12" spans="2:23" x14ac:dyDescent="0.25">
      <c r="B12" s="24"/>
      <c r="C12" s="25"/>
      <c r="D12" s="25"/>
      <c r="F12" s="61"/>
      <c r="G12" s="61"/>
      <c r="H12" s="61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</row>
    <row r="13" spans="2:23" x14ac:dyDescent="0.25">
      <c r="B13" s="24" t="s">
        <v>59</v>
      </c>
      <c r="C13" s="25">
        <v>20</v>
      </c>
      <c r="D13" s="25">
        <v>56</v>
      </c>
      <c r="F13" s="61"/>
      <c r="G13" s="61"/>
      <c r="H13" s="61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</row>
    <row r="14" spans="2:23" x14ac:dyDescent="0.25">
      <c r="B14" s="24" t="s">
        <v>60</v>
      </c>
      <c r="C14" s="25">
        <v>24</v>
      </c>
      <c r="D14" s="25">
        <v>54</v>
      </c>
      <c r="F14" s="61"/>
      <c r="G14" s="61"/>
      <c r="H14" s="61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</row>
    <row r="15" spans="2:23" x14ac:dyDescent="0.25">
      <c r="B15" s="24" t="s">
        <v>61</v>
      </c>
      <c r="C15" s="25">
        <v>23</v>
      </c>
      <c r="D15" s="25">
        <v>58</v>
      </c>
      <c r="F15" s="61"/>
      <c r="G15" s="61"/>
      <c r="H15" s="61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</row>
    <row r="16" spans="2:23" x14ac:dyDescent="0.25">
      <c r="B16" s="24" t="s">
        <v>62</v>
      </c>
      <c r="C16" s="25">
        <v>24</v>
      </c>
      <c r="D16" s="25">
        <v>57</v>
      </c>
      <c r="F16" s="61"/>
      <c r="G16" s="61"/>
      <c r="H16" s="61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</row>
    <row r="17" spans="2:23" x14ac:dyDescent="0.25">
      <c r="B17" s="24" t="s">
        <v>63</v>
      </c>
      <c r="C17" s="25">
        <v>24</v>
      </c>
      <c r="D17" s="25">
        <v>51</v>
      </c>
      <c r="F17" s="61"/>
      <c r="G17" s="61"/>
      <c r="H17" s="61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</row>
    <row r="18" spans="2:23" x14ac:dyDescent="0.25">
      <c r="B18" s="24" t="s">
        <v>64</v>
      </c>
      <c r="C18" s="25">
        <v>23</v>
      </c>
      <c r="D18" s="25">
        <v>65</v>
      </c>
      <c r="F18" s="61"/>
      <c r="G18" s="61"/>
      <c r="H18" s="61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</row>
    <row r="19" spans="2:23" x14ac:dyDescent="0.25">
      <c r="B19" s="24" t="s">
        <v>65</v>
      </c>
      <c r="C19" s="25">
        <v>26</v>
      </c>
      <c r="D19" s="25">
        <v>35</v>
      </c>
      <c r="F19" s="61"/>
      <c r="G19" s="61"/>
      <c r="H19" s="61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</row>
    <row r="20" spans="2:23" x14ac:dyDescent="0.25">
      <c r="B20" s="31"/>
      <c r="C20" s="30"/>
      <c r="D20" s="30"/>
      <c r="F20" s="61"/>
      <c r="G20" s="61"/>
      <c r="H20" s="61"/>
      <c r="I20" s="61"/>
      <c r="J20" s="61"/>
      <c r="K20" s="61"/>
      <c r="L20" s="61"/>
      <c r="M20" s="61"/>
      <c r="N20" s="62"/>
      <c r="O20" s="62"/>
      <c r="P20" s="62"/>
      <c r="Q20" s="62"/>
      <c r="R20" s="62"/>
      <c r="S20" s="62"/>
      <c r="T20" s="62"/>
      <c r="U20" s="62"/>
      <c r="V20" s="62"/>
      <c r="W20" s="62"/>
    </row>
    <row r="21" spans="2:23" x14ac:dyDescent="0.25">
      <c r="B21" s="24" t="s">
        <v>59</v>
      </c>
      <c r="C21" s="25">
        <v>20</v>
      </c>
      <c r="D21" s="25">
        <v>56</v>
      </c>
      <c r="N21" s="40"/>
      <c r="O21" s="40"/>
      <c r="P21" s="40"/>
      <c r="Q21" s="40"/>
      <c r="R21" s="40"/>
      <c r="S21" s="40"/>
      <c r="T21" s="40"/>
      <c r="U21" s="40"/>
      <c r="V21" s="40"/>
      <c r="W21" s="40"/>
    </row>
    <row r="22" spans="2:23" x14ac:dyDescent="0.25">
      <c r="B22" s="24" t="s">
        <v>60</v>
      </c>
      <c r="C22" s="25">
        <v>24</v>
      </c>
      <c r="D22" s="25">
        <v>54</v>
      </c>
      <c r="N22" s="40"/>
      <c r="O22" s="40"/>
      <c r="P22" s="40"/>
      <c r="Q22" s="40"/>
      <c r="R22" s="40"/>
      <c r="S22" s="40"/>
      <c r="T22" s="40"/>
      <c r="U22" s="40"/>
      <c r="V22" s="40"/>
      <c r="W22" s="40"/>
    </row>
    <row r="23" spans="2:23" x14ac:dyDescent="0.25">
      <c r="B23" s="24" t="s">
        <v>61</v>
      </c>
      <c r="C23" s="25">
        <v>23</v>
      </c>
      <c r="D23" s="25">
        <v>58</v>
      </c>
      <c r="I23" t="s">
        <v>90</v>
      </c>
      <c r="N23" s="40"/>
      <c r="O23" s="40"/>
      <c r="P23" s="40"/>
      <c r="Q23" s="40"/>
      <c r="R23" s="40"/>
      <c r="S23" s="40"/>
      <c r="T23" s="40"/>
      <c r="U23" s="40"/>
      <c r="V23" s="40"/>
      <c r="W23" s="40"/>
    </row>
    <row r="24" spans="2:23" x14ac:dyDescent="0.25">
      <c r="B24" s="24" t="s">
        <v>62</v>
      </c>
      <c r="C24" s="25">
        <v>24</v>
      </c>
      <c r="D24" s="25">
        <v>57</v>
      </c>
      <c r="N24" s="40"/>
      <c r="O24" s="40"/>
      <c r="P24" s="40"/>
      <c r="Q24" s="40"/>
      <c r="R24" s="40"/>
      <c r="S24" s="40"/>
      <c r="T24" s="40"/>
      <c r="U24" s="40"/>
      <c r="V24" s="40"/>
      <c r="W24" s="40"/>
    </row>
    <row r="25" spans="2:23" x14ac:dyDescent="0.25">
      <c r="B25" s="24" t="s">
        <v>63</v>
      </c>
      <c r="C25" s="25">
        <v>24</v>
      </c>
      <c r="D25" s="25">
        <v>51</v>
      </c>
      <c r="K25">
        <v>2</v>
      </c>
      <c r="N25" s="40"/>
      <c r="O25" s="40"/>
      <c r="P25" s="40"/>
      <c r="Q25" s="40"/>
      <c r="R25" s="40"/>
      <c r="S25" s="40"/>
      <c r="T25" s="40"/>
      <c r="U25" s="40"/>
      <c r="V25" s="40"/>
      <c r="W25" s="40"/>
    </row>
    <row r="26" spans="2:23" x14ac:dyDescent="0.25">
      <c r="B26" s="24" t="s">
        <v>64</v>
      </c>
      <c r="C26" s="25">
        <v>23</v>
      </c>
      <c r="D26" s="25">
        <v>65</v>
      </c>
      <c r="K26">
        <v>3</v>
      </c>
      <c r="N26" s="40"/>
      <c r="O26" s="40"/>
      <c r="P26" s="40"/>
      <c r="Q26" s="40"/>
      <c r="R26" s="40"/>
      <c r="S26" s="40"/>
      <c r="T26" s="40"/>
      <c r="U26" s="40"/>
      <c r="V26" s="40"/>
      <c r="W26" s="40"/>
    </row>
    <row r="27" spans="2:23" x14ac:dyDescent="0.25">
      <c r="B27" s="31" t="s">
        <v>65</v>
      </c>
      <c r="C27" s="30">
        <v>26</v>
      </c>
      <c r="D27" s="30">
        <v>35</v>
      </c>
      <c r="K27">
        <v>4</v>
      </c>
      <c r="N27" s="40"/>
      <c r="O27" s="40"/>
      <c r="P27" s="40"/>
      <c r="Q27" s="40"/>
      <c r="R27" s="40"/>
      <c r="S27" s="40"/>
      <c r="T27" s="40"/>
      <c r="U27" s="40"/>
      <c r="V27" s="40"/>
      <c r="W27" s="40"/>
    </row>
    <row r="28" spans="2:23" x14ac:dyDescent="0.25">
      <c r="B28" s="31"/>
      <c r="C28" s="30"/>
      <c r="D28" s="30"/>
      <c r="N28" s="40"/>
      <c r="O28" s="40"/>
      <c r="P28" s="40"/>
      <c r="Q28" s="40"/>
      <c r="R28" s="40"/>
      <c r="S28" s="40"/>
      <c r="T28" s="40"/>
      <c r="U28" s="40"/>
      <c r="V28" s="40"/>
      <c r="W28" s="40"/>
    </row>
    <row r="29" spans="2:23" x14ac:dyDescent="0.25">
      <c r="B29" s="24" t="s">
        <v>59</v>
      </c>
      <c r="C29" s="25">
        <v>20</v>
      </c>
      <c r="D29" s="25">
        <v>56</v>
      </c>
      <c r="N29" s="40"/>
      <c r="O29" s="40"/>
      <c r="P29" s="40"/>
      <c r="Q29" s="40"/>
      <c r="R29" s="40"/>
      <c r="S29" s="40"/>
      <c r="T29" s="40"/>
      <c r="U29" s="40"/>
      <c r="V29" s="40"/>
      <c r="W29" s="40"/>
    </row>
    <row r="30" spans="2:23" x14ac:dyDescent="0.25">
      <c r="B30" s="24" t="s">
        <v>60</v>
      </c>
      <c r="C30" s="25">
        <v>24</v>
      </c>
      <c r="D30" s="25">
        <v>54</v>
      </c>
      <c r="E30" s="29"/>
      <c r="F30" s="29"/>
      <c r="G30" s="29"/>
      <c r="I30" s="19" t="s">
        <v>89</v>
      </c>
      <c r="J30" s="19" t="s">
        <v>89</v>
      </c>
      <c r="K30" s="29"/>
      <c r="L30" s="29"/>
      <c r="M30" s="29"/>
      <c r="N30" s="41"/>
      <c r="O30" s="41"/>
      <c r="P30" s="41"/>
      <c r="Q30" s="40"/>
      <c r="R30" s="40"/>
      <c r="S30" s="40"/>
      <c r="T30" s="40"/>
      <c r="U30" s="40"/>
      <c r="V30" s="40"/>
      <c r="W30" s="40"/>
    </row>
    <row r="31" spans="2:23" x14ac:dyDescent="0.25">
      <c r="B31" s="24" t="s">
        <v>61</v>
      </c>
      <c r="C31" s="25">
        <v>23</v>
      </c>
      <c r="D31" s="25">
        <v>58</v>
      </c>
      <c r="E31" s="29"/>
      <c r="F31" s="29"/>
      <c r="G31" s="29"/>
      <c r="I31" s="29"/>
      <c r="J31" s="29"/>
      <c r="K31" s="29"/>
      <c r="L31" s="29"/>
      <c r="M31" s="29"/>
      <c r="N31" s="41"/>
      <c r="O31" s="41"/>
      <c r="P31" s="41"/>
      <c r="Q31" s="40"/>
      <c r="R31" s="40"/>
      <c r="S31" s="40"/>
      <c r="T31" s="40"/>
      <c r="U31" s="40"/>
      <c r="V31" s="40"/>
      <c r="W31" s="40"/>
    </row>
    <row r="32" spans="2:23" x14ac:dyDescent="0.25">
      <c r="B32" s="24" t="s">
        <v>62</v>
      </c>
      <c r="C32" s="25">
        <v>24</v>
      </c>
      <c r="D32" s="25">
        <v>57</v>
      </c>
      <c r="E32" s="29"/>
      <c r="F32" s="29"/>
      <c r="G32" s="29"/>
      <c r="J32" s="29"/>
      <c r="K32" s="29"/>
      <c r="L32" s="29"/>
      <c r="M32" s="29"/>
      <c r="N32" s="41"/>
      <c r="O32" s="41"/>
      <c r="P32" s="41"/>
      <c r="Q32" s="40"/>
      <c r="R32" s="40"/>
      <c r="S32" s="40"/>
      <c r="T32" s="40"/>
      <c r="U32" s="40"/>
      <c r="V32" s="40"/>
      <c r="W32" s="40"/>
    </row>
    <row r="33" spans="2:23" x14ac:dyDescent="0.25">
      <c r="B33" s="24" t="s">
        <v>63</v>
      </c>
      <c r="C33" s="25">
        <v>24</v>
      </c>
      <c r="D33" s="25">
        <v>51</v>
      </c>
      <c r="E33" s="29"/>
      <c r="F33" s="29"/>
      <c r="G33" s="29"/>
      <c r="I33" s="29"/>
      <c r="J33" s="29"/>
      <c r="K33" s="29"/>
      <c r="L33" s="29"/>
      <c r="M33" s="29"/>
      <c r="N33" s="41"/>
      <c r="O33" s="41"/>
      <c r="P33" s="41"/>
      <c r="Q33" s="40"/>
      <c r="R33" s="40"/>
      <c r="S33" s="40"/>
      <c r="T33" s="40"/>
      <c r="U33" s="40"/>
      <c r="V33" s="40"/>
      <c r="W33" s="40"/>
    </row>
    <row r="34" spans="2:23" x14ac:dyDescent="0.25">
      <c r="B34" s="24" t="s">
        <v>64</v>
      </c>
      <c r="C34" s="25">
        <v>23</v>
      </c>
      <c r="D34" s="25">
        <v>65</v>
      </c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</row>
    <row r="35" spans="2:23" x14ac:dyDescent="0.25">
      <c r="B35" s="31" t="s">
        <v>65</v>
      </c>
      <c r="C35" s="30">
        <v>26</v>
      </c>
      <c r="D35" s="30">
        <v>35</v>
      </c>
      <c r="E35" s="29"/>
      <c r="F35" s="29"/>
      <c r="G35" s="61"/>
      <c r="H35" s="61"/>
      <c r="I35" s="61"/>
      <c r="J35" s="61"/>
      <c r="K35" s="61"/>
      <c r="L35" s="61"/>
      <c r="M35" s="61"/>
      <c r="N35" s="61"/>
      <c r="O35" s="61"/>
      <c r="P35" s="61"/>
    </row>
    <row r="36" spans="2:23" x14ac:dyDescent="0.25">
      <c r="D36" s="29"/>
      <c r="E36" s="29"/>
      <c r="F36" s="29"/>
      <c r="G36" s="61"/>
      <c r="H36" s="61"/>
      <c r="I36" s="61"/>
      <c r="J36" s="61"/>
      <c r="K36" s="61"/>
      <c r="L36" s="61"/>
      <c r="M36" s="61"/>
      <c r="N36" s="61"/>
      <c r="O36" s="61"/>
      <c r="P36" s="61"/>
    </row>
    <row r="37" spans="2:23" x14ac:dyDescent="0.25">
      <c r="D37" s="29"/>
      <c r="E37" s="29"/>
      <c r="F37" s="29"/>
      <c r="G37" s="61"/>
      <c r="H37" s="61"/>
      <c r="I37" s="61"/>
      <c r="J37" s="61"/>
      <c r="K37" s="61"/>
      <c r="L37" s="61"/>
      <c r="M37" s="61"/>
      <c r="N37" s="61"/>
      <c r="O37" s="61"/>
      <c r="P37" s="61"/>
    </row>
    <row r="38" spans="2:23" x14ac:dyDescent="0.25">
      <c r="D38" s="29"/>
      <c r="E38" s="29"/>
      <c r="F38" s="29"/>
      <c r="G38" s="61"/>
      <c r="H38" s="61"/>
      <c r="I38" s="61"/>
      <c r="J38" s="61"/>
      <c r="K38" s="61"/>
      <c r="L38" s="61"/>
      <c r="M38" s="61"/>
      <c r="N38" s="61"/>
      <c r="O38" s="61"/>
      <c r="P38" s="61"/>
    </row>
    <row r="39" spans="2:23" x14ac:dyDescent="0.25">
      <c r="D39" s="29"/>
      <c r="E39" s="29"/>
      <c r="F39" s="29"/>
      <c r="G39" s="61"/>
      <c r="H39" s="61"/>
      <c r="I39" s="61"/>
      <c r="J39" s="61"/>
      <c r="K39" s="61"/>
      <c r="L39" s="61"/>
      <c r="M39" s="61"/>
      <c r="N39" s="61"/>
      <c r="O39" s="61"/>
      <c r="P39" s="61"/>
    </row>
    <row r="40" spans="2:23" x14ac:dyDescent="0.25">
      <c r="D40" s="29"/>
      <c r="E40" s="29"/>
      <c r="F40" s="29"/>
      <c r="G40" s="61"/>
      <c r="H40" s="61"/>
      <c r="I40" s="61"/>
      <c r="J40" s="61"/>
      <c r="K40" s="61"/>
      <c r="L40" s="61"/>
      <c r="M40" s="61"/>
      <c r="N40" s="61"/>
      <c r="O40" s="61"/>
      <c r="P40" s="61"/>
    </row>
    <row r="41" spans="2:23" x14ac:dyDescent="0.25">
      <c r="D41" s="29"/>
      <c r="E41" s="29"/>
      <c r="F41" s="29"/>
      <c r="G41" s="61"/>
      <c r="H41" s="61"/>
      <c r="I41" s="61"/>
      <c r="J41" s="61"/>
      <c r="K41" s="61"/>
      <c r="L41" s="61"/>
      <c r="M41" s="61"/>
      <c r="N41" s="61"/>
      <c r="O41" s="61"/>
      <c r="P41" s="61"/>
    </row>
    <row r="42" spans="2:23" x14ac:dyDescent="0.25">
      <c r="D42" s="29"/>
      <c r="E42" s="29"/>
      <c r="F42" s="29"/>
      <c r="G42" s="61"/>
      <c r="H42" s="61"/>
      <c r="I42" s="61"/>
      <c r="J42" s="61"/>
      <c r="K42" s="61"/>
      <c r="L42" s="61"/>
      <c r="M42" s="61"/>
      <c r="N42" s="61"/>
      <c r="O42" s="61"/>
      <c r="P42" s="61"/>
    </row>
    <row r="43" spans="2:23" x14ac:dyDescent="0.25">
      <c r="D43" s="29"/>
      <c r="E43" s="29"/>
      <c r="F43" s="29"/>
      <c r="G43" s="61"/>
      <c r="H43" s="61"/>
      <c r="I43" s="61"/>
      <c r="J43" s="61"/>
      <c r="K43" s="61"/>
      <c r="L43" s="61"/>
      <c r="M43" s="61"/>
      <c r="N43" s="61"/>
      <c r="O43" s="61"/>
      <c r="P43" s="61"/>
    </row>
    <row r="44" spans="2:23" x14ac:dyDescent="0.25">
      <c r="D44" s="29"/>
      <c r="E44" s="29"/>
      <c r="F44" s="29"/>
      <c r="G44" s="61"/>
      <c r="H44" s="61"/>
      <c r="I44" s="61"/>
      <c r="J44" s="61"/>
      <c r="K44" s="61"/>
      <c r="L44" s="61"/>
      <c r="M44" s="61"/>
      <c r="N44" s="61"/>
      <c r="O44" s="61"/>
      <c r="P44" s="61"/>
    </row>
    <row r="45" spans="2:23" x14ac:dyDescent="0.25">
      <c r="D45" s="29"/>
      <c r="E45" s="29"/>
      <c r="F45" s="29"/>
      <c r="G45" s="61"/>
      <c r="H45" s="61"/>
      <c r="I45" s="61"/>
      <c r="J45" s="61"/>
      <c r="K45" s="61"/>
      <c r="L45" s="61"/>
      <c r="M45" s="61"/>
      <c r="N45" s="61"/>
      <c r="O45" s="61"/>
      <c r="P45" s="61"/>
    </row>
    <row r="46" spans="2:23" x14ac:dyDescent="0.25">
      <c r="D46" s="29"/>
      <c r="E46" s="29"/>
      <c r="F46" s="29"/>
      <c r="G46" s="61"/>
      <c r="H46" s="61"/>
      <c r="I46" s="61"/>
      <c r="J46" s="61"/>
      <c r="K46" s="61"/>
      <c r="L46" s="61"/>
      <c r="M46" s="61"/>
      <c r="N46" s="61"/>
      <c r="O46" s="61"/>
      <c r="P46" s="61"/>
    </row>
    <row r="47" spans="2:23" x14ac:dyDescent="0.25">
      <c r="D47" s="29"/>
      <c r="E47" s="29"/>
      <c r="F47" s="29"/>
      <c r="G47" s="61"/>
      <c r="H47" s="61"/>
      <c r="I47" s="61"/>
      <c r="J47" s="61"/>
      <c r="K47" s="61"/>
      <c r="L47" s="61"/>
      <c r="M47" s="61"/>
      <c r="N47" s="61"/>
      <c r="O47" s="61"/>
      <c r="P47" s="61"/>
    </row>
    <row r="48" spans="2:23" x14ac:dyDescent="0.25">
      <c r="D48" s="29"/>
      <c r="E48" s="29"/>
      <c r="F48" s="29"/>
      <c r="G48" s="61"/>
      <c r="H48" s="61"/>
      <c r="I48" s="61"/>
      <c r="J48" s="61"/>
      <c r="K48" s="61"/>
      <c r="L48" s="61"/>
      <c r="M48" s="61"/>
      <c r="N48" s="61"/>
      <c r="O48" s="61"/>
      <c r="P48" s="61"/>
    </row>
    <row r="49" spans="4:16" x14ac:dyDescent="0.25">
      <c r="D49" s="29"/>
      <c r="E49" s="29"/>
      <c r="F49" s="29"/>
      <c r="G49" s="61"/>
      <c r="H49" s="61"/>
      <c r="I49" s="61"/>
      <c r="J49" s="61"/>
      <c r="K49" s="61"/>
      <c r="L49" s="61"/>
      <c r="M49" s="61"/>
      <c r="N49" s="61"/>
      <c r="O49" s="61"/>
      <c r="P49" s="61"/>
    </row>
    <row r="50" spans="4:16" x14ac:dyDescent="0.25">
      <c r="D50" s="29"/>
      <c r="E50" s="29"/>
      <c r="F50" s="29"/>
      <c r="G50" s="61"/>
      <c r="H50" s="61"/>
      <c r="I50" s="61"/>
      <c r="J50" s="61"/>
      <c r="K50" s="61"/>
      <c r="L50" s="61"/>
      <c r="M50" s="61"/>
      <c r="N50" s="61"/>
      <c r="O50" s="61"/>
      <c r="P50" s="61"/>
    </row>
    <row r="51" spans="4:16" x14ac:dyDescent="0.25">
      <c r="D51" s="29"/>
      <c r="E51" s="29"/>
      <c r="F51" s="29"/>
      <c r="G51" s="61"/>
      <c r="H51" s="61"/>
      <c r="I51" s="61"/>
      <c r="J51" s="61"/>
      <c r="K51" s="61"/>
      <c r="L51" s="61"/>
      <c r="M51" s="61"/>
      <c r="N51" s="61"/>
      <c r="O51" s="61"/>
      <c r="P51" s="61"/>
    </row>
    <row r="52" spans="4:16" x14ac:dyDescent="0.25">
      <c r="D52" s="29"/>
      <c r="E52" s="29"/>
      <c r="F52" s="29"/>
      <c r="G52" s="61"/>
      <c r="H52" s="61"/>
      <c r="I52" s="61"/>
      <c r="J52" s="61"/>
      <c r="K52" s="61"/>
      <c r="L52" s="61"/>
      <c r="M52" s="61"/>
      <c r="N52" s="61"/>
      <c r="O52" s="61"/>
      <c r="P52" s="61"/>
    </row>
    <row r="53" spans="4:16" x14ac:dyDescent="0.25">
      <c r="D53" s="29"/>
      <c r="E53" s="29"/>
      <c r="F53" s="29"/>
      <c r="G53" s="61"/>
      <c r="H53" s="61"/>
      <c r="I53" s="61"/>
      <c r="J53" s="61"/>
      <c r="K53" s="61"/>
      <c r="L53" s="61"/>
      <c r="M53" s="61"/>
      <c r="N53" s="61"/>
      <c r="O53" s="61"/>
      <c r="P53" s="61"/>
    </row>
    <row r="54" spans="4:16" x14ac:dyDescent="0.25">
      <c r="D54" s="29"/>
      <c r="E54" s="29"/>
      <c r="F54" s="29"/>
      <c r="G54" s="61"/>
      <c r="H54" s="61"/>
      <c r="I54" s="61"/>
      <c r="J54" s="61"/>
      <c r="K54" s="61"/>
      <c r="L54" s="61"/>
      <c r="M54" s="61"/>
      <c r="N54" s="61"/>
      <c r="O54" s="61"/>
      <c r="P54" s="61"/>
    </row>
    <row r="55" spans="4:16" x14ac:dyDescent="0.25">
      <c r="D55" s="29"/>
      <c r="E55" s="29"/>
      <c r="F55" s="29"/>
      <c r="G55" s="61"/>
      <c r="H55" s="61"/>
      <c r="I55" s="61"/>
      <c r="J55" s="61"/>
      <c r="K55" s="61"/>
      <c r="L55" s="61"/>
      <c r="M55" s="61"/>
      <c r="N55" s="61"/>
      <c r="O55" s="61"/>
      <c r="P55" s="61"/>
    </row>
    <row r="56" spans="4:16" x14ac:dyDescent="0.25">
      <c r="D56" s="29"/>
      <c r="E56" s="29"/>
      <c r="F56" s="29"/>
      <c r="G56" s="61"/>
      <c r="H56" s="61"/>
      <c r="I56" s="61"/>
      <c r="J56" s="61"/>
      <c r="K56" s="61"/>
      <c r="L56" s="61"/>
      <c r="M56" s="61"/>
      <c r="N56" s="61"/>
      <c r="O56" s="61"/>
      <c r="P56" s="61"/>
    </row>
    <row r="57" spans="4:16" x14ac:dyDescent="0.25"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</row>
    <row r="58" spans="4:16" x14ac:dyDescent="0.25"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</row>
    <row r="59" spans="4:16" x14ac:dyDescent="0.25"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</row>
    <row r="60" spans="4:16" x14ac:dyDescent="0.25"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</row>
    <row r="61" spans="4:16" x14ac:dyDescent="0.25"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</row>
    <row r="62" spans="4:16" x14ac:dyDescent="0.25"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</row>
    <row r="63" spans="4:16" x14ac:dyDescent="0.25"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</row>
    <row r="64" spans="4:16" x14ac:dyDescent="0.25">
      <c r="D64" s="29"/>
    </row>
  </sheetData>
  <mergeCells count="4">
    <mergeCell ref="F3:M20"/>
    <mergeCell ref="N3:W20"/>
    <mergeCell ref="B2:C2"/>
    <mergeCell ref="G35:P56"/>
  </mergeCells>
  <conditionalFormatting sqref="I30:J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" priority="2" operator="equal">
      <formula>"Camp I"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6:N40"/>
  <sheetViews>
    <sheetView workbookViewId="0">
      <selection activeCell="L40" sqref="L40"/>
    </sheetView>
  </sheetViews>
  <sheetFormatPr defaultRowHeight="15" x14ac:dyDescent="0.25"/>
  <sheetData>
    <row r="6" spans="2:14" x14ac:dyDescent="0.25">
      <c r="B6" s="26" t="s">
        <v>58</v>
      </c>
      <c r="C6" s="27" t="s">
        <v>66</v>
      </c>
      <c r="D6" s="28" t="s">
        <v>67</v>
      </c>
    </row>
    <row r="7" spans="2:14" x14ac:dyDescent="0.25">
      <c r="B7" s="26"/>
      <c r="C7" s="26"/>
      <c r="D7" s="26"/>
      <c r="G7" s="64" t="s">
        <v>69</v>
      </c>
      <c r="H7" s="64"/>
      <c r="I7" s="64"/>
      <c r="J7" s="64"/>
    </row>
    <row r="8" spans="2:14" x14ac:dyDescent="0.25">
      <c r="B8" s="24" t="s">
        <v>68</v>
      </c>
      <c r="C8" s="38">
        <v>20</v>
      </c>
      <c r="D8" s="38">
        <v>56</v>
      </c>
      <c r="G8" s="63" t="s">
        <v>63</v>
      </c>
      <c r="H8" s="63"/>
      <c r="I8" s="63"/>
      <c r="J8" s="63"/>
    </row>
    <row r="9" spans="2:14" x14ac:dyDescent="0.25">
      <c r="B9" s="24" t="s">
        <v>60</v>
      </c>
      <c r="C9" s="38">
        <v>24</v>
      </c>
      <c r="D9" s="38">
        <v>54</v>
      </c>
    </row>
    <row r="10" spans="2:14" x14ac:dyDescent="0.25">
      <c r="B10" s="24" t="s">
        <v>61</v>
      </c>
      <c r="C10" s="38">
        <v>23</v>
      </c>
      <c r="D10" s="38">
        <v>58</v>
      </c>
    </row>
    <row r="11" spans="2:14" x14ac:dyDescent="0.25">
      <c r="B11" s="24" t="s">
        <v>62</v>
      </c>
      <c r="C11" s="38">
        <v>24</v>
      </c>
      <c r="D11" s="38">
        <v>57</v>
      </c>
      <c r="K11" s="32" t="s">
        <v>58</v>
      </c>
      <c r="L11" s="32" t="s">
        <v>70</v>
      </c>
      <c r="M11" s="32" t="s">
        <v>71</v>
      </c>
    </row>
    <row r="12" spans="2:14" x14ac:dyDescent="0.25">
      <c r="B12" s="24" t="s">
        <v>63</v>
      </c>
      <c r="C12" s="38">
        <v>24</v>
      </c>
      <c r="D12" s="38">
        <v>51</v>
      </c>
      <c r="K12" s="18" t="s">
        <v>68</v>
      </c>
      <c r="L12" s="43">
        <v>20</v>
      </c>
      <c r="M12" s="65">
        <v>56</v>
      </c>
      <c r="N12" s="66"/>
    </row>
    <row r="13" spans="2:14" x14ac:dyDescent="0.25">
      <c r="B13" s="24" t="s">
        <v>64</v>
      </c>
      <c r="C13" s="38">
        <v>23</v>
      </c>
      <c r="D13" s="38">
        <v>65</v>
      </c>
      <c r="K13" s="18" t="s">
        <v>72</v>
      </c>
      <c r="L13" s="43">
        <v>24</v>
      </c>
      <c r="M13" s="65">
        <v>54</v>
      </c>
      <c r="N13" s="66"/>
    </row>
    <row r="14" spans="2:14" x14ac:dyDescent="0.25">
      <c r="B14" s="24" t="s">
        <v>65</v>
      </c>
      <c r="C14" s="38">
        <v>26</v>
      </c>
      <c r="D14" s="38">
        <v>35</v>
      </c>
      <c r="K14" s="18" t="s">
        <v>61</v>
      </c>
      <c r="L14" s="43">
        <v>23</v>
      </c>
      <c r="M14" s="65">
        <v>58</v>
      </c>
      <c r="N14" s="66"/>
    </row>
    <row r="15" spans="2:14" x14ac:dyDescent="0.25">
      <c r="B15" s="24" t="s">
        <v>59</v>
      </c>
      <c r="C15" s="38">
        <v>20</v>
      </c>
      <c r="D15" s="38">
        <v>56</v>
      </c>
      <c r="K15" s="18" t="s">
        <v>62</v>
      </c>
      <c r="L15" s="43">
        <v>24</v>
      </c>
      <c r="M15" s="65">
        <v>57</v>
      </c>
      <c r="N15" s="66"/>
    </row>
    <row r="16" spans="2:14" x14ac:dyDescent="0.25">
      <c r="B16" s="24" t="s">
        <v>60</v>
      </c>
      <c r="C16" s="38">
        <v>24</v>
      </c>
      <c r="D16" s="38">
        <v>54</v>
      </c>
      <c r="K16" s="18" t="s">
        <v>63</v>
      </c>
      <c r="L16" s="43">
        <v>24</v>
      </c>
      <c r="M16" s="65">
        <v>51</v>
      </c>
      <c r="N16" s="66"/>
    </row>
    <row r="17" spans="2:14" x14ac:dyDescent="0.25">
      <c r="B17" s="24" t="s">
        <v>61</v>
      </c>
      <c r="C17" s="38">
        <v>23</v>
      </c>
      <c r="D17" s="38">
        <v>58</v>
      </c>
      <c r="K17" s="18" t="s">
        <v>64</v>
      </c>
      <c r="L17" s="43">
        <v>23</v>
      </c>
      <c r="M17" s="65">
        <v>65</v>
      </c>
      <c r="N17" s="66"/>
    </row>
    <row r="18" spans="2:14" x14ac:dyDescent="0.25">
      <c r="B18" s="24" t="s">
        <v>62</v>
      </c>
      <c r="C18" s="38">
        <v>24</v>
      </c>
      <c r="D18" s="38">
        <v>57</v>
      </c>
      <c r="K18" s="18" t="s">
        <v>65</v>
      </c>
      <c r="L18" s="43">
        <v>26</v>
      </c>
      <c r="M18" s="65">
        <v>35</v>
      </c>
      <c r="N18" s="66"/>
    </row>
    <row r="19" spans="2:14" x14ac:dyDescent="0.25">
      <c r="B19" s="24" t="s">
        <v>63</v>
      </c>
      <c r="C19" s="38">
        <v>24</v>
      </c>
      <c r="D19" s="38">
        <v>51</v>
      </c>
      <c r="K19" s="18" t="s">
        <v>59</v>
      </c>
      <c r="L19" s="43">
        <v>20</v>
      </c>
      <c r="M19" s="65">
        <v>56</v>
      </c>
      <c r="N19" s="66"/>
    </row>
    <row r="20" spans="2:14" x14ac:dyDescent="0.25">
      <c r="B20" s="24" t="s">
        <v>64</v>
      </c>
      <c r="C20" s="38">
        <v>23</v>
      </c>
      <c r="D20" s="38">
        <v>65</v>
      </c>
      <c r="K20" s="18" t="s">
        <v>60</v>
      </c>
      <c r="L20" s="43">
        <v>24</v>
      </c>
      <c r="M20" s="65">
        <v>54</v>
      </c>
      <c r="N20" s="66"/>
    </row>
    <row r="21" spans="2:14" x14ac:dyDescent="0.25">
      <c r="B21" s="24" t="s">
        <v>65</v>
      </c>
      <c r="C21" s="38">
        <v>26</v>
      </c>
      <c r="D21" s="38">
        <v>35</v>
      </c>
      <c r="K21" s="18" t="s">
        <v>61</v>
      </c>
      <c r="L21" s="43">
        <v>23</v>
      </c>
      <c r="M21" s="65">
        <v>58</v>
      </c>
      <c r="N21" s="66"/>
    </row>
    <row r="22" spans="2:14" x14ac:dyDescent="0.25">
      <c r="B22" s="24" t="s">
        <v>59</v>
      </c>
      <c r="C22" s="38">
        <v>20</v>
      </c>
      <c r="D22" s="38">
        <v>56</v>
      </c>
      <c r="K22" s="18" t="s">
        <v>62</v>
      </c>
      <c r="L22" s="43">
        <v>24</v>
      </c>
      <c r="M22" s="65">
        <v>57</v>
      </c>
      <c r="N22" s="66"/>
    </row>
    <row r="23" spans="2:14" x14ac:dyDescent="0.25">
      <c r="B23" s="24" t="s">
        <v>60</v>
      </c>
      <c r="C23" s="38">
        <v>24</v>
      </c>
      <c r="D23" s="38">
        <v>54</v>
      </c>
      <c r="K23" s="42" t="s">
        <v>63</v>
      </c>
      <c r="L23" s="43">
        <v>24</v>
      </c>
      <c r="M23" s="65">
        <v>51</v>
      </c>
      <c r="N23" s="66"/>
    </row>
    <row r="24" spans="2:14" x14ac:dyDescent="0.25">
      <c r="B24" s="24" t="s">
        <v>61</v>
      </c>
      <c r="C24" s="38">
        <v>23</v>
      </c>
      <c r="D24" s="38">
        <v>58</v>
      </c>
      <c r="K24" s="18" t="s">
        <v>64</v>
      </c>
      <c r="L24" s="43">
        <v>23</v>
      </c>
      <c r="M24" s="65">
        <v>65</v>
      </c>
      <c r="N24" s="66"/>
    </row>
    <row r="25" spans="2:14" x14ac:dyDescent="0.25">
      <c r="B25" s="24" t="s">
        <v>62</v>
      </c>
      <c r="C25" s="38">
        <v>24</v>
      </c>
      <c r="D25" s="38">
        <v>57</v>
      </c>
      <c r="K25" s="18" t="s">
        <v>65</v>
      </c>
      <c r="L25" s="43">
        <v>26</v>
      </c>
      <c r="M25" s="65">
        <v>35</v>
      </c>
      <c r="N25" s="66"/>
    </row>
    <row r="26" spans="2:14" x14ac:dyDescent="0.25">
      <c r="B26" s="24" t="s">
        <v>63</v>
      </c>
      <c r="C26" s="38">
        <v>24</v>
      </c>
      <c r="D26" s="38">
        <v>51</v>
      </c>
      <c r="K26" s="18" t="s">
        <v>68</v>
      </c>
      <c r="L26" s="43">
        <v>20</v>
      </c>
      <c r="M26" s="65">
        <v>56</v>
      </c>
      <c r="N26" s="66"/>
    </row>
    <row r="27" spans="2:14" x14ac:dyDescent="0.25">
      <c r="B27" s="24" t="s">
        <v>64</v>
      </c>
      <c r="C27" s="38">
        <v>23</v>
      </c>
      <c r="D27" s="38">
        <v>65</v>
      </c>
      <c r="K27" s="18" t="s">
        <v>60</v>
      </c>
      <c r="L27" s="43">
        <v>24</v>
      </c>
      <c r="M27" s="65">
        <v>54</v>
      </c>
      <c r="N27" s="66"/>
    </row>
    <row r="28" spans="2:14" x14ac:dyDescent="0.25">
      <c r="B28" s="31" t="s">
        <v>65</v>
      </c>
      <c r="C28" s="39">
        <v>26</v>
      </c>
      <c r="D28" s="39">
        <v>35</v>
      </c>
      <c r="K28" s="18" t="s">
        <v>61</v>
      </c>
      <c r="L28" s="43">
        <v>23</v>
      </c>
      <c r="M28" s="65">
        <v>58</v>
      </c>
      <c r="N28" s="66"/>
    </row>
    <row r="29" spans="2:14" x14ac:dyDescent="0.25">
      <c r="B29" s="24" t="s">
        <v>59</v>
      </c>
      <c r="C29" s="38">
        <v>20</v>
      </c>
      <c r="D29" s="38">
        <v>56</v>
      </c>
      <c r="K29" s="18" t="s">
        <v>62</v>
      </c>
      <c r="L29" s="43">
        <v>24</v>
      </c>
      <c r="M29" s="65">
        <v>57</v>
      </c>
      <c r="N29" s="66"/>
    </row>
    <row r="30" spans="2:14" x14ac:dyDescent="0.25">
      <c r="B30" s="24" t="s">
        <v>60</v>
      </c>
      <c r="C30" s="38">
        <v>24</v>
      </c>
      <c r="D30" s="38">
        <v>54</v>
      </c>
      <c r="K30" s="18" t="s">
        <v>63</v>
      </c>
      <c r="L30" s="43">
        <v>24</v>
      </c>
      <c r="M30" s="65">
        <v>51</v>
      </c>
      <c r="N30" s="66"/>
    </row>
    <row r="31" spans="2:14" x14ac:dyDescent="0.25">
      <c r="B31" s="24" t="s">
        <v>61</v>
      </c>
      <c r="C31" s="38">
        <v>23</v>
      </c>
      <c r="D31" s="38">
        <v>58</v>
      </c>
      <c r="K31" s="18" t="s">
        <v>64</v>
      </c>
      <c r="L31" s="43">
        <v>23</v>
      </c>
      <c r="M31" s="65">
        <v>65</v>
      </c>
      <c r="N31" s="66"/>
    </row>
    <row r="32" spans="2:14" x14ac:dyDescent="0.25">
      <c r="B32" s="24" t="s">
        <v>62</v>
      </c>
      <c r="C32" s="38">
        <v>24</v>
      </c>
      <c r="D32" s="38">
        <v>57</v>
      </c>
      <c r="K32" s="18" t="s">
        <v>65</v>
      </c>
      <c r="L32" s="43">
        <v>26</v>
      </c>
      <c r="M32" s="65">
        <v>35</v>
      </c>
      <c r="N32" s="66"/>
    </row>
    <row r="33" spans="2:14" x14ac:dyDescent="0.25">
      <c r="B33" s="24" t="s">
        <v>63</v>
      </c>
      <c r="C33" s="38">
        <v>24</v>
      </c>
      <c r="D33" s="38">
        <v>51</v>
      </c>
      <c r="K33" s="18" t="s">
        <v>68</v>
      </c>
      <c r="L33" s="43">
        <v>20</v>
      </c>
      <c r="M33" s="65">
        <v>56</v>
      </c>
      <c r="N33" s="66"/>
    </row>
    <row r="34" spans="2:14" x14ac:dyDescent="0.25">
      <c r="B34" s="24" t="s">
        <v>64</v>
      </c>
      <c r="C34" s="38">
        <v>23</v>
      </c>
      <c r="D34" s="38">
        <v>65</v>
      </c>
      <c r="K34" s="18" t="s">
        <v>60</v>
      </c>
      <c r="L34" s="43">
        <v>24</v>
      </c>
      <c r="M34" s="65">
        <v>54</v>
      </c>
      <c r="N34" s="66"/>
    </row>
    <row r="35" spans="2:14" x14ac:dyDescent="0.25">
      <c r="B35" s="31" t="s">
        <v>65</v>
      </c>
      <c r="C35" s="39">
        <v>26</v>
      </c>
      <c r="D35" s="39">
        <v>35</v>
      </c>
      <c r="K35" s="18" t="s">
        <v>61</v>
      </c>
      <c r="L35" s="43">
        <v>23</v>
      </c>
      <c r="M35" s="65">
        <v>58</v>
      </c>
      <c r="N35" s="66"/>
    </row>
    <row r="36" spans="2:14" x14ac:dyDescent="0.25">
      <c r="B36" s="31"/>
      <c r="C36" s="30">
        <f>SUM(C8:C35)</f>
        <v>656</v>
      </c>
      <c r="D36" s="30">
        <f>SUM(D8:D35)</f>
        <v>1504</v>
      </c>
      <c r="K36" s="18" t="s">
        <v>62</v>
      </c>
      <c r="L36" s="43">
        <v>24</v>
      </c>
      <c r="M36" s="65">
        <v>57</v>
      </c>
      <c r="N36" s="66"/>
    </row>
    <row r="37" spans="2:14" x14ac:dyDescent="0.25">
      <c r="K37" s="18" t="s">
        <v>63</v>
      </c>
      <c r="L37" s="43">
        <v>24</v>
      </c>
      <c r="M37" s="65">
        <v>51</v>
      </c>
      <c r="N37" s="66"/>
    </row>
    <row r="38" spans="2:14" x14ac:dyDescent="0.25">
      <c r="K38" s="18" t="s">
        <v>64</v>
      </c>
      <c r="L38" s="43">
        <v>23</v>
      </c>
      <c r="M38" s="65">
        <v>65</v>
      </c>
      <c r="N38" s="66"/>
    </row>
    <row r="39" spans="2:14" x14ac:dyDescent="0.25">
      <c r="K39" s="18" t="s">
        <v>65</v>
      </c>
      <c r="L39" s="43">
        <v>26</v>
      </c>
      <c r="M39" s="65">
        <v>35</v>
      </c>
      <c r="N39" s="66"/>
    </row>
    <row r="40" spans="2:14" x14ac:dyDescent="0.25">
      <c r="L40" s="44">
        <f>SUM(L12:L39)</f>
        <v>656</v>
      </c>
      <c r="M40" s="67">
        <f>SUM(M12:M39)</f>
        <v>1504</v>
      </c>
      <c r="N40" s="67"/>
    </row>
  </sheetData>
  <mergeCells count="31">
    <mergeCell ref="M40:N40"/>
    <mergeCell ref="M35:N35"/>
    <mergeCell ref="M36:N36"/>
    <mergeCell ref="M37:N37"/>
    <mergeCell ref="M38:N38"/>
    <mergeCell ref="M39:N39"/>
    <mergeCell ref="M30:N30"/>
    <mergeCell ref="M31:N31"/>
    <mergeCell ref="M32:N32"/>
    <mergeCell ref="M33:N33"/>
    <mergeCell ref="M34:N34"/>
    <mergeCell ref="M25:N25"/>
    <mergeCell ref="M26:N26"/>
    <mergeCell ref="M27:N27"/>
    <mergeCell ref="M28:N28"/>
    <mergeCell ref="M29:N29"/>
    <mergeCell ref="M20:N20"/>
    <mergeCell ref="M21:N21"/>
    <mergeCell ref="M22:N22"/>
    <mergeCell ref="M23:N23"/>
    <mergeCell ref="M24:N24"/>
    <mergeCell ref="G8:J8"/>
    <mergeCell ref="G7:J7"/>
    <mergeCell ref="M19:N19"/>
    <mergeCell ref="M12:N12"/>
    <mergeCell ref="M13:N13"/>
    <mergeCell ref="M14:N14"/>
    <mergeCell ref="M15:N15"/>
    <mergeCell ref="M16:N16"/>
    <mergeCell ref="M17:N17"/>
    <mergeCell ref="M18:N18"/>
  </mergeCells>
  <conditionalFormatting sqref="K11:M39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{B3C3D54D-0C72-4C82-989D-870A33689E5B}</x14:id>
        </ext>
      </extLst>
    </cfRule>
    <cfRule type="expression" dxfId="18" priority="30">
      <formula>$G$8=$K11</formula>
    </cfRule>
  </conditionalFormatting>
  <conditionalFormatting sqref="B8:D3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{1AF8DA42-44B6-4002-BF35-76A7104F95CF}</x14:id>
        </ext>
      </extLst>
    </cfRule>
  </conditionalFormatting>
  <conditionalFormatting sqref="K12:M40">
    <cfRule type="containsText" dxfId="17" priority="3" operator="containsText" text="Kee">
      <formula>NOT(ISERROR(SEARCH("Kee",K12)))</formula>
    </cfRule>
  </conditionalFormatting>
  <conditionalFormatting sqref="A1:XFD11 R15:XFD15 A41:XFD1048576 O12:XFD14 O15:P15 A12:M40 O16:XFD40">
    <cfRule type="containsText" dxfId="16" priority="1" operator="containsText" text="Camp III">
      <formula>NOT(ISERROR(SEARCH("Camp III",A1)))</formula>
    </cfRule>
    <cfRule type="containsText" dxfId="15" priority="2" operator="containsText" text="Camp II">
      <formula>NOT(ISERROR(SEARCH("Camp II",A1)))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C3D54D-0C72-4C82-989D-870A33689E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K11:M39</xm:sqref>
        </x14:conditionalFormatting>
        <x14:conditionalFormatting xmlns:xm="http://schemas.microsoft.com/office/excel/2006/main">
          <x14:cfRule type="dataBar" id="{1AF8DA42-44B6-4002-BF35-76A7104F95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B8:D35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18"/>
  <sheetViews>
    <sheetView workbookViewId="0">
      <selection activeCell="M13" sqref="M13"/>
    </sheetView>
  </sheetViews>
  <sheetFormatPr defaultRowHeight="15" x14ac:dyDescent="0.25"/>
  <cols>
    <col min="1" max="1" width="7.7109375" bestFit="1" customWidth="1"/>
    <col min="2" max="2" width="6.140625" bestFit="1" customWidth="1"/>
  </cols>
  <sheetData>
    <row r="1" spans="1:10" x14ac:dyDescent="0.25">
      <c r="A1" s="34" t="s">
        <v>73</v>
      </c>
      <c r="B1" t="s">
        <v>74</v>
      </c>
    </row>
    <row r="8" spans="1:10" x14ac:dyDescent="0.25">
      <c r="D8" s="18" t="s">
        <v>80</v>
      </c>
      <c r="E8" s="18" t="s">
        <v>81</v>
      </c>
      <c r="F8" s="18">
        <f>3*100</f>
        <v>300</v>
      </c>
      <c r="H8" s="35"/>
    </row>
    <row r="9" spans="1:10" x14ac:dyDescent="0.25">
      <c r="D9" s="18" t="s">
        <v>83</v>
      </c>
      <c r="E9" s="18" t="s">
        <v>82</v>
      </c>
      <c r="F9" s="18">
        <f>6*256</f>
        <v>1536</v>
      </c>
      <c r="H9" s="18" t="s">
        <v>80</v>
      </c>
      <c r="I9" s="18" t="s">
        <v>81</v>
      </c>
      <c r="J9" s="36">
        <f>3*100</f>
        <v>300</v>
      </c>
    </row>
    <row r="10" spans="1:10" x14ac:dyDescent="0.25">
      <c r="D10" s="18" t="s">
        <v>83</v>
      </c>
      <c r="E10" s="18" t="s">
        <v>84</v>
      </c>
      <c r="F10" s="18">
        <f>6*56</f>
        <v>336</v>
      </c>
      <c r="H10" s="18" t="s">
        <v>83</v>
      </c>
      <c r="I10" s="18" t="s">
        <v>82</v>
      </c>
      <c r="J10" s="37">
        <f>6*256</f>
        <v>1536</v>
      </c>
    </row>
    <row r="11" spans="1:10" x14ac:dyDescent="0.25">
      <c r="D11" s="18" t="s">
        <v>85</v>
      </c>
      <c r="E11" s="18" t="s">
        <v>86</v>
      </c>
      <c r="F11" s="18">
        <f>9*65</f>
        <v>585</v>
      </c>
      <c r="H11" s="18" t="s">
        <v>83</v>
      </c>
      <c r="I11" s="18" t="s">
        <v>84</v>
      </c>
      <c r="J11" s="37">
        <f>6*56</f>
        <v>336</v>
      </c>
    </row>
    <row r="12" spans="1:10" x14ac:dyDescent="0.25">
      <c r="D12" s="18" t="s">
        <v>80</v>
      </c>
      <c r="E12" s="18" t="s">
        <v>81</v>
      </c>
      <c r="F12" s="18">
        <f>3*100</f>
        <v>300</v>
      </c>
      <c r="H12" s="18" t="s">
        <v>85</v>
      </c>
      <c r="I12" s="18" t="s">
        <v>86</v>
      </c>
      <c r="J12" s="37">
        <f>9*65</f>
        <v>585</v>
      </c>
    </row>
    <row r="13" spans="1:10" x14ac:dyDescent="0.25">
      <c r="D13" s="18" t="s">
        <v>83</v>
      </c>
      <c r="E13" s="18" t="s">
        <v>82</v>
      </c>
      <c r="F13" s="18">
        <f>6*256</f>
        <v>1536</v>
      </c>
      <c r="H13" s="18" t="s">
        <v>80</v>
      </c>
      <c r="I13" s="18" t="s">
        <v>81</v>
      </c>
      <c r="J13" s="37">
        <f>3*100</f>
        <v>300</v>
      </c>
    </row>
    <row r="14" spans="1:10" x14ac:dyDescent="0.25">
      <c r="D14" s="18" t="s">
        <v>83</v>
      </c>
      <c r="E14" s="18" t="s">
        <v>84</v>
      </c>
      <c r="F14" s="18">
        <f>6*56</f>
        <v>336</v>
      </c>
      <c r="H14" s="18" t="s">
        <v>83</v>
      </c>
      <c r="I14" s="18" t="s">
        <v>82</v>
      </c>
      <c r="J14" s="37">
        <f>6*256</f>
        <v>1536</v>
      </c>
    </row>
    <row r="15" spans="1:10" x14ac:dyDescent="0.25">
      <c r="D15" s="18" t="s">
        <v>85</v>
      </c>
      <c r="E15" s="18" t="s">
        <v>86</v>
      </c>
      <c r="F15" s="18">
        <f>9*65</f>
        <v>585</v>
      </c>
      <c r="H15" s="18" t="s">
        <v>83</v>
      </c>
      <c r="I15" s="18" t="s">
        <v>84</v>
      </c>
      <c r="J15" s="37">
        <f>6*56</f>
        <v>336</v>
      </c>
    </row>
    <row r="16" spans="1:10" x14ac:dyDescent="0.25">
      <c r="D16" s="18" t="s">
        <v>87</v>
      </c>
      <c r="E16" s="18" t="s">
        <v>88</v>
      </c>
      <c r="F16" s="18">
        <f>8*75</f>
        <v>600</v>
      </c>
      <c r="H16" s="18" t="s">
        <v>85</v>
      </c>
      <c r="I16" s="18" t="s">
        <v>86</v>
      </c>
      <c r="J16" s="37">
        <f>9*65</f>
        <v>585</v>
      </c>
    </row>
    <row r="17" spans="4:10" x14ac:dyDescent="0.25">
      <c r="D17" s="63" t="s">
        <v>19</v>
      </c>
      <c r="E17" s="63"/>
      <c r="F17" s="33">
        <f>SUM(F8:F16)</f>
        <v>6114</v>
      </c>
      <c r="H17" s="18" t="s">
        <v>87</v>
      </c>
      <c r="I17" s="18" t="s">
        <v>88</v>
      </c>
      <c r="J17" s="37">
        <f>8*75</f>
        <v>600</v>
      </c>
    </row>
    <row r="18" spans="4:10" x14ac:dyDescent="0.25">
      <c r="J18">
        <f>SUM(J9:J17)</f>
        <v>6114</v>
      </c>
    </row>
  </sheetData>
  <mergeCells count="1">
    <mergeCell ref="D17:E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5:R28"/>
  <sheetViews>
    <sheetView workbookViewId="0">
      <selection activeCell="U7" sqref="U7"/>
    </sheetView>
  </sheetViews>
  <sheetFormatPr defaultRowHeight="15" x14ac:dyDescent="0.25"/>
  <cols>
    <col min="1" max="1" width="7.7109375" bestFit="1" customWidth="1"/>
    <col min="2" max="2" width="6.5703125" bestFit="1" customWidth="1"/>
    <col min="5" max="5" width="7.28515625" customWidth="1"/>
    <col min="6" max="6" width="2.42578125" customWidth="1"/>
    <col min="18" max="18" width="2.7109375" customWidth="1"/>
  </cols>
  <sheetData>
    <row r="5" spans="1:18" x14ac:dyDescent="0.25">
      <c r="A5" s="34"/>
    </row>
    <row r="6" spans="1:18" x14ac:dyDescent="0.25">
      <c r="A6" s="34"/>
    </row>
    <row r="7" spans="1:18" x14ac:dyDescent="0.25">
      <c r="A7" s="34"/>
    </row>
    <row r="8" spans="1:18" x14ac:dyDescent="0.25">
      <c r="A8" s="34"/>
    </row>
    <row r="9" spans="1:18" x14ac:dyDescent="0.25">
      <c r="A9" s="34"/>
    </row>
    <row r="10" spans="1:18" x14ac:dyDescent="0.25">
      <c r="A10" s="34"/>
    </row>
    <row r="11" spans="1:18" x14ac:dyDescent="0.25">
      <c r="A11" s="34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</row>
    <row r="12" spans="1:18" ht="15" customHeight="1" x14ac:dyDescent="0.25">
      <c r="A12" s="34"/>
      <c r="F12" s="46"/>
      <c r="G12" s="77" t="s">
        <v>91</v>
      </c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46"/>
    </row>
    <row r="13" spans="1:18" ht="15" customHeight="1" x14ac:dyDescent="0.25">
      <c r="A13" s="34"/>
      <c r="F13" s="46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46"/>
    </row>
    <row r="14" spans="1:18" ht="15" customHeight="1" x14ac:dyDescent="0.25">
      <c r="F14" s="46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46"/>
    </row>
    <row r="15" spans="1:18" ht="15" customHeight="1" x14ac:dyDescent="0.25">
      <c r="F15" s="46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46"/>
    </row>
    <row r="16" spans="1:18" ht="15" customHeight="1" x14ac:dyDescent="0.25">
      <c r="F16" s="46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46"/>
    </row>
    <row r="17" spans="6:18" ht="15" customHeight="1" x14ac:dyDescent="0.25">
      <c r="F17" s="46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46"/>
    </row>
    <row r="18" spans="6:18" ht="15" customHeight="1" x14ac:dyDescent="0.25">
      <c r="F18" s="46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46"/>
    </row>
    <row r="19" spans="6:18" x14ac:dyDescent="0.25"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</row>
    <row r="20" spans="6:18" ht="15" customHeight="1" x14ac:dyDescent="0.25">
      <c r="F20" s="45"/>
      <c r="G20" s="68">
        <v>8874752980</v>
      </c>
      <c r="H20" s="69"/>
      <c r="I20" s="69"/>
      <c r="J20" s="69"/>
      <c r="K20" s="69"/>
      <c r="L20" s="69"/>
      <c r="M20" s="69"/>
      <c r="N20" s="69"/>
      <c r="O20" s="69"/>
      <c r="P20" s="69"/>
      <c r="Q20" s="70"/>
      <c r="R20" s="45"/>
    </row>
    <row r="21" spans="6:18" ht="15" customHeight="1" x14ac:dyDescent="0.25">
      <c r="F21" s="45"/>
      <c r="G21" s="71"/>
      <c r="H21" s="72"/>
      <c r="I21" s="72"/>
      <c r="J21" s="72"/>
      <c r="K21" s="72"/>
      <c r="L21" s="72"/>
      <c r="M21" s="72"/>
      <c r="N21" s="72"/>
      <c r="O21" s="72"/>
      <c r="P21" s="72"/>
      <c r="Q21" s="73"/>
      <c r="R21" s="45"/>
    </row>
    <row r="22" spans="6:18" ht="15" customHeight="1" x14ac:dyDescent="0.25">
      <c r="F22" s="45"/>
      <c r="G22" s="71"/>
      <c r="H22" s="72"/>
      <c r="I22" s="72"/>
      <c r="J22" s="72"/>
      <c r="K22" s="72"/>
      <c r="L22" s="72"/>
      <c r="M22" s="72"/>
      <c r="N22" s="72"/>
      <c r="O22" s="72"/>
      <c r="P22" s="72"/>
      <c r="Q22" s="73"/>
      <c r="R22" s="45"/>
    </row>
    <row r="23" spans="6:18" ht="15" customHeight="1" x14ac:dyDescent="0.25">
      <c r="F23" s="45"/>
      <c r="G23" s="71"/>
      <c r="H23" s="72"/>
      <c r="I23" s="72"/>
      <c r="J23" s="72"/>
      <c r="K23" s="72"/>
      <c r="L23" s="72"/>
      <c r="M23" s="72"/>
      <c r="N23" s="72"/>
      <c r="O23" s="72"/>
      <c r="P23" s="72"/>
      <c r="Q23" s="73"/>
      <c r="R23" s="45"/>
    </row>
    <row r="24" spans="6:18" ht="15" customHeight="1" x14ac:dyDescent="0.25">
      <c r="F24" s="45"/>
      <c r="G24" s="71"/>
      <c r="H24" s="72"/>
      <c r="I24" s="72"/>
      <c r="J24" s="72"/>
      <c r="K24" s="72"/>
      <c r="L24" s="72"/>
      <c r="M24" s="72"/>
      <c r="N24" s="72"/>
      <c r="O24" s="72"/>
      <c r="P24" s="72"/>
      <c r="Q24" s="73"/>
      <c r="R24" s="45"/>
    </row>
    <row r="25" spans="6:18" ht="15" customHeight="1" x14ac:dyDescent="0.25">
      <c r="F25" s="45"/>
      <c r="G25" s="71"/>
      <c r="H25" s="72"/>
      <c r="I25" s="72"/>
      <c r="J25" s="72"/>
      <c r="K25" s="72"/>
      <c r="L25" s="72"/>
      <c r="M25" s="72"/>
      <c r="N25" s="72"/>
      <c r="O25" s="72"/>
      <c r="P25" s="72"/>
      <c r="Q25" s="73"/>
      <c r="R25" s="45"/>
    </row>
    <row r="26" spans="6:18" ht="15" customHeight="1" x14ac:dyDescent="0.25">
      <c r="F26" s="45"/>
      <c r="G26" s="71"/>
      <c r="H26" s="72"/>
      <c r="I26" s="72"/>
      <c r="J26" s="72"/>
      <c r="K26" s="72"/>
      <c r="L26" s="72"/>
      <c r="M26" s="72"/>
      <c r="N26" s="72"/>
      <c r="O26" s="72"/>
      <c r="P26" s="72"/>
      <c r="Q26" s="73"/>
      <c r="R26" s="45"/>
    </row>
    <row r="27" spans="6:18" ht="15" customHeight="1" x14ac:dyDescent="0.25">
      <c r="F27" s="45"/>
      <c r="G27" s="74"/>
      <c r="H27" s="75"/>
      <c r="I27" s="75"/>
      <c r="J27" s="75"/>
      <c r="K27" s="75"/>
      <c r="L27" s="75"/>
      <c r="M27" s="75"/>
      <c r="N27" s="75"/>
      <c r="O27" s="75"/>
      <c r="P27" s="75"/>
      <c r="Q27" s="76"/>
      <c r="R27" s="45"/>
    </row>
    <row r="28" spans="6:18" x14ac:dyDescent="0.25"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</row>
  </sheetData>
  <mergeCells count="2">
    <mergeCell ref="G20:Q27"/>
    <mergeCell ref="G12:Q18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C5:O23"/>
  <sheetViews>
    <sheetView workbookViewId="0">
      <selection activeCell="O10" sqref="O10:O15"/>
    </sheetView>
  </sheetViews>
  <sheetFormatPr defaultRowHeight="15" x14ac:dyDescent="0.25"/>
  <cols>
    <col min="1" max="1" width="7.7109375" customWidth="1"/>
    <col min="2" max="2" width="6.7109375" customWidth="1"/>
    <col min="3" max="3" width="23.140625" bestFit="1" customWidth="1"/>
    <col min="4" max="4" width="9.85546875" bestFit="1" customWidth="1"/>
    <col min="5" max="5" width="11" bestFit="1" customWidth="1"/>
    <col min="6" max="6" width="4" bestFit="1" customWidth="1"/>
    <col min="9" max="9" width="7.140625" bestFit="1" customWidth="1"/>
    <col min="11" max="11" width="9.42578125" bestFit="1" customWidth="1"/>
    <col min="12" max="12" width="23.140625" bestFit="1" customWidth="1"/>
    <col min="13" max="13" width="9.85546875" bestFit="1" customWidth="1"/>
    <col min="14" max="14" width="11" bestFit="1" customWidth="1"/>
    <col min="15" max="15" width="3" bestFit="1" customWidth="1"/>
  </cols>
  <sheetData>
    <row r="5" spans="3:15" x14ac:dyDescent="0.25">
      <c r="C5" s="79"/>
      <c r="D5" s="79"/>
      <c r="E5" s="79"/>
      <c r="F5" s="79"/>
    </row>
    <row r="6" spans="3:15" x14ac:dyDescent="0.25">
      <c r="C6" s="79"/>
      <c r="D6" s="79"/>
      <c r="E6" s="79"/>
      <c r="F6" s="79"/>
    </row>
    <row r="7" spans="3:15" x14ac:dyDescent="0.25">
      <c r="C7" s="18" t="s">
        <v>92</v>
      </c>
      <c r="D7" s="18" t="s">
        <v>45</v>
      </c>
      <c r="E7" s="18" t="s">
        <v>105</v>
      </c>
      <c r="F7" s="18">
        <v>25</v>
      </c>
    </row>
    <row r="8" spans="3:15" x14ac:dyDescent="0.25">
      <c r="C8" s="18" t="s">
        <v>93</v>
      </c>
      <c r="D8" s="18" t="s">
        <v>99</v>
      </c>
      <c r="E8" s="18" t="s">
        <v>106</v>
      </c>
      <c r="F8" s="18">
        <v>24</v>
      </c>
    </row>
    <row r="9" spans="3:15" x14ac:dyDescent="0.25">
      <c r="C9" s="18" t="s">
        <v>94</v>
      </c>
      <c r="D9" s="18" t="s">
        <v>100</v>
      </c>
      <c r="E9" s="18" t="s">
        <v>107</v>
      </c>
      <c r="F9" s="18">
        <v>56</v>
      </c>
    </row>
    <row r="10" spans="3:15" x14ac:dyDescent="0.25">
      <c r="C10" s="18" t="s">
        <v>95</v>
      </c>
      <c r="D10" s="18" t="s">
        <v>101</v>
      </c>
      <c r="E10" s="18" t="s">
        <v>106</v>
      </c>
      <c r="F10" s="18">
        <v>24</v>
      </c>
      <c r="L10" s="18" t="s">
        <v>92</v>
      </c>
      <c r="M10" t="s">
        <v>110</v>
      </c>
      <c r="N10" t="s">
        <v>111</v>
      </c>
      <c r="O10">
        <v>25</v>
      </c>
    </row>
    <row r="11" spans="3:15" x14ac:dyDescent="0.25">
      <c r="C11" s="18" t="s">
        <v>96</v>
      </c>
      <c r="D11" s="18" t="s">
        <v>102</v>
      </c>
      <c r="E11" s="18" t="s">
        <v>108</v>
      </c>
      <c r="F11" s="18">
        <v>65</v>
      </c>
      <c r="L11" s="18" t="s">
        <v>93</v>
      </c>
      <c r="M11" t="s">
        <v>99</v>
      </c>
      <c r="N11" t="s">
        <v>106</v>
      </c>
      <c r="O11">
        <v>24</v>
      </c>
    </row>
    <row r="12" spans="3:15" x14ac:dyDescent="0.25">
      <c r="C12" s="18" t="s">
        <v>97</v>
      </c>
      <c r="D12" s="18" t="s">
        <v>103</v>
      </c>
      <c r="E12" s="18" t="s">
        <v>45</v>
      </c>
      <c r="F12" s="18">
        <v>65</v>
      </c>
      <c r="L12" s="18" t="s">
        <v>94</v>
      </c>
      <c r="M12" t="s">
        <v>100</v>
      </c>
      <c r="N12" t="s">
        <v>107</v>
      </c>
      <c r="O12">
        <v>56</v>
      </c>
    </row>
    <row r="13" spans="3:15" x14ac:dyDescent="0.25">
      <c r="C13" s="18" t="s">
        <v>98</v>
      </c>
      <c r="D13" s="18" t="s">
        <v>104</v>
      </c>
      <c r="E13" s="18" t="s">
        <v>109</v>
      </c>
      <c r="F13" s="18">
        <v>5</v>
      </c>
      <c r="H13" s="47"/>
      <c r="I13" t="s">
        <v>112</v>
      </c>
      <c r="L13" s="18" t="s">
        <v>96</v>
      </c>
      <c r="M13" t="s">
        <v>102</v>
      </c>
      <c r="N13" t="s">
        <v>108</v>
      </c>
      <c r="O13">
        <v>65</v>
      </c>
    </row>
    <row r="14" spans="3:15" x14ac:dyDescent="0.25">
      <c r="C14" s="18"/>
      <c r="D14" s="18">
        <f>SUM(E7:E13)</f>
        <v>0</v>
      </c>
      <c r="E14">
        <f>SUM(D14)</f>
        <v>0</v>
      </c>
      <c r="F14" s="18">
        <f>SUM(F7:F13)</f>
        <v>264</v>
      </c>
      <c r="L14" s="18" t="s">
        <v>97</v>
      </c>
      <c r="M14" t="s">
        <v>103</v>
      </c>
      <c r="N14" t="s">
        <v>45</v>
      </c>
      <c r="O14">
        <v>65</v>
      </c>
    </row>
    <row r="15" spans="3:15" x14ac:dyDescent="0.25">
      <c r="C15" s="18"/>
      <c r="D15" s="18"/>
      <c r="E15" s="18"/>
      <c r="F15" s="18"/>
      <c r="L15" s="18" t="s">
        <v>98</v>
      </c>
      <c r="M15" t="s">
        <v>104</v>
      </c>
      <c r="N15" t="s">
        <v>109</v>
      </c>
      <c r="O15">
        <v>5</v>
      </c>
    </row>
    <row r="16" spans="3:15" x14ac:dyDescent="0.25">
      <c r="C16" s="18"/>
      <c r="D16" s="18"/>
      <c r="E16" s="18"/>
      <c r="F16" s="18"/>
      <c r="L16" s="18"/>
    </row>
    <row r="17" spans="7:11" x14ac:dyDescent="0.25">
      <c r="G17" s="47"/>
    </row>
    <row r="23" spans="7:11" x14ac:dyDescent="0.25">
      <c r="K23" t="s">
        <v>113</v>
      </c>
    </row>
  </sheetData>
  <mergeCells count="2">
    <mergeCell ref="D5:F6"/>
    <mergeCell ref="C5:C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C5:P30"/>
  <sheetViews>
    <sheetView topLeftCell="A14" workbookViewId="0">
      <selection activeCell="M23" sqref="M23:P30"/>
    </sheetView>
  </sheetViews>
  <sheetFormatPr defaultRowHeight="15" x14ac:dyDescent="0.25"/>
  <cols>
    <col min="1" max="1" width="7.7109375" bestFit="1" customWidth="1"/>
    <col min="2" max="2" width="6.42578125" bestFit="1" customWidth="1"/>
    <col min="3" max="3" width="23.140625" customWidth="1"/>
    <col min="4" max="4" width="9.85546875" customWidth="1"/>
    <col min="5" max="5" width="11" customWidth="1"/>
    <col min="6" max="6" width="4" customWidth="1"/>
  </cols>
  <sheetData>
    <row r="5" spans="3:6" x14ac:dyDescent="0.25">
      <c r="C5" s="79"/>
      <c r="D5" s="79"/>
      <c r="E5" s="79"/>
      <c r="F5" s="79"/>
    </row>
    <row r="6" spans="3:6" x14ac:dyDescent="0.25">
      <c r="C6" s="79"/>
      <c r="D6" s="79"/>
      <c r="E6" s="79"/>
      <c r="F6" s="79"/>
    </row>
    <row r="7" spans="3:6" ht="4.5" customHeight="1" x14ac:dyDescent="0.25">
      <c r="C7" s="18" t="s">
        <v>92</v>
      </c>
      <c r="D7" s="18" t="s">
        <v>45</v>
      </c>
      <c r="E7" s="18" t="s">
        <v>105</v>
      </c>
      <c r="F7" s="18">
        <v>25</v>
      </c>
    </row>
    <row r="8" spans="3:6" ht="29.25" customHeight="1" x14ac:dyDescent="0.25">
      <c r="C8" s="18" t="s">
        <v>93</v>
      </c>
      <c r="D8" s="18" t="s">
        <v>99</v>
      </c>
      <c r="E8" s="18" t="s">
        <v>106</v>
      </c>
      <c r="F8" s="18">
        <v>24</v>
      </c>
    </row>
    <row r="9" spans="3:6" x14ac:dyDescent="0.25">
      <c r="C9" s="18" t="s">
        <v>94</v>
      </c>
      <c r="D9" s="18" t="s">
        <v>100</v>
      </c>
      <c r="E9" s="18" t="s">
        <v>107</v>
      </c>
      <c r="F9" s="18">
        <v>56</v>
      </c>
    </row>
    <row r="10" spans="3:6" hidden="1" x14ac:dyDescent="0.25">
      <c r="C10" s="18" t="s">
        <v>95</v>
      </c>
      <c r="D10" s="18" t="s">
        <v>101</v>
      </c>
      <c r="E10" s="18" t="s">
        <v>106</v>
      </c>
      <c r="F10" s="18">
        <v>24</v>
      </c>
    </row>
    <row r="11" spans="3:6" x14ac:dyDescent="0.25">
      <c r="C11" s="18" t="s">
        <v>96</v>
      </c>
      <c r="D11" s="18" t="s">
        <v>102</v>
      </c>
      <c r="E11" s="18" t="s">
        <v>108</v>
      </c>
      <c r="F11" s="18">
        <v>65</v>
      </c>
    </row>
    <row r="12" spans="3:6" ht="2.25" customHeight="1" x14ac:dyDescent="0.25">
      <c r="C12" s="18" t="s">
        <v>97</v>
      </c>
      <c r="D12" s="18" t="s">
        <v>103</v>
      </c>
      <c r="E12" s="18" t="s">
        <v>45</v>
      </c>
      <c r="F12" s="18">
        <v>65</v>
      </c>
    </row>
    <row r="13" spans="3:6" x14ac:dyDescent="0.25">
      <c r="C13" s="18" t="s">
        <v>98</v>
      </c>
      <c r="D13" s="18" t="s">
        <v>104</v>
      </c>
      <c r="E13" s="18" t="s">
        <v>109</v>
      </c>
      <c r="F13" s="18">
        <v>5</v>
      </c>
    </row>
    <row r="14" spans="3:6" x14ac:dyDescent="0.25">
      <c r="C14" s="18"/>
      <c r="D14" s="18">
        <f>SUM(E7:E13)</f>
        <v>0</v>
      </c>
      <c r="E14">
        <f>SUM(D14)</f>
        <v>0</v>
      </c>
      <c r="F14" s="18">
        <f>SUM(F7:F13)</f>
        <v>264</v>
      </c>
    </row>
    <row r="15" spans="3:6" x14ac:dyDescent="0.25">
      <c r="C15" s="18"/>
      <c r="D15" s="18"/>
      <c r="E15" s="18"/>
      <c r="F15" s="18"/>
    </row>
    <row r="16" spans="3:6" x14ac:dyDescent="0.25">
      <c r="C16" s="18"/>
      <c r="D16" s="18"/>
      <c r="E16" s="18"/>
      <c r="F16" s="18"/>
    </row>
    <row r="23" spans="7:16" x14ac:dyDescent="0.25">
      <c r="G23" s="18" t="s">
        <v>92</v>
      </c>
      <c r="H23" s="18" t="s">
        <v>45</v>
      </c>
      <c r="I23" s="18" t="s">
        <v>105</v>
      </c>
      <c r="J23" s="18">
        <v>25</v>
      </c>
      <c r="M23" s="18" t="s">
        <v>92</v>
      </c>
      <c r="N23" s="18" t="s">
        <v>45</v>
      </c>
      <c r="O23" s="18" t="s">
        <v>105</v>
      </c>
      <c r="P23" s="18">
        <v>25</v>
      </c>
    </row>
    <row r="24" spans="7:16" x14ac:dyDescent="0.25">
      <c r="G24" s="18" t="s">
        <v>93</v>
      </c>
      <c r="H24" s="18" t="s">
        <v>99</v>
      </c>
      <c r="I24" s="18" t="s">
        <v>106</v>
      </c>
      <c r="J24" s="18">
        <v>24</v>
      </c>
      <c r="M24" s="18" t="s">
        <v>93</v>
      </c>
      <c r="N24" s="18" t="s">
        <v>99</v>
      </c>
      <c r="O24" s="18" t="s">
        <v>106</v>
      </c>
      <c r="P24" s="18">
        <v>24</v>
      </c>
    </row>
    <row r="25" spans="7:16" x14ac:dyDescent="0.25">
      <c r="G25" s="18" t="s">
        <v>94</v>
      </c>
      <c r="H25" s="18" t="s">
        <v>100</v>
      </c>
      <c r="I25" s="18" t="s">
        <v>107</v>
      </c>
      <c r="J25" s="18">
        <v>56</v>
      </c>
      <c r="M25" s="18" t="s">
        <v>94</v>
      </c>
      <c r="N25" s="18" t="s">
        <v>100</v>
      </c>
      <c r="O25" s="18" t="s">
        <v>107</v>
      </c>
      <c r="P25" s="18">
        <v>56</v>
      </c>
    </row>
    <row r="26" spans="7:16" x14ac:dyDescent="0.25">
      <c r="G26" s="18" t="s">
        <v>95</v>
      </c>
      <c r="H26" s="18" t="s">
        <v>101</v>
      </c>
      <c r="I26" s="18" t="s">
        <v>106</v>
      </c>
      <c r="J26" s="18">
        <v>24</v>
      </c>
      <c r="M26" s="18" t="s">
        <v>96</v>
      </c>
      <c r="N26" s="18" t="s">
        <v>102</v>
      </c>
      <c r="O26" s="18" t="s">
        <v>108</v>
      </c>
      <c r="P26" s="18">
        <v>65</v>
      </c>
    </row>
    <row r="27" spans="7:16" x14ac:dyDescent="0.25">
      <c r="G27" s="18" t="s">
        <v>96</v>
      </c>
      <c r="H27" s="18" t="s">
        <v>102</v>
      </c>
      <c r="I27" s="18" t="s">
        <v>108</v>
      </c>
      <c r="J27" s="18">
        <v>65</v>
      </c>
      <c r="M27" s="18" t="s">
        <v>97</v>
      </c>
      <c r="N27" s="18" t="s">
        <v>103</v>
      </c>
      <c r="O27" s="18" t="s">
        <v>45</v>
      </c>
      <c r="P27" s="18">
        <v>65</v>
      </c>
    </row>
    <row r="28" spans="7:16" x14ac:dyDescent="0.25">
      <c r="G28" s="18" t="s">
        <v>97</v>
      </c>
      <c r="H28" s="18" t="s">
        <v>103</v>
      </c>
      <c r="I28" s="18" t="s">
        <v>45</v>
      </c>
      <c r="J28" s="18">
        <v>65</v>
      </c>
      <c r="M28" s="18" t="s">
        <v>98</v>
      </c>
      <c r="N28" s="18" t="s">
        <v>104</v>
      </c>
      <c r="O28" s="18" t="s">
        <v>109</v>
      </c>
      <c r="P28" s="18">
        <v>5</v>
      </c>
    </row>
    <row r="29" spans="7:16" x14ac:dyDescent="0.25">
      <c r="G29" s="18" t="s">
        <v>98</v>
      </c>
      <c r="H29" s="18" t="s">
        <v>104</v>
      </c>
      <c r="I29" s="18" t="s">
        <v>109</v>
      </c>
      <c r="J29" s="18">
        <v>5</v>
      </c>
      <c r="M29" s="18"/>
      <c r="N29" s="18">
        <v>0</v>
      </c>
      <c r="O29">
        <v>0</v>
      </c>
      <c r="P29" s="18">
        <f>SUM(P23:P28)</f>
        <v>240</v>
      </c>
    </row>
    <row r="30" spans="7:16" x14ac:dyDescent="0.25">
      <c r="G30" s="18"/>
      <c r="H30" s="18">
        <f>SUM(I23:I29)</f>
        <v>0</v>
      </c>
      <c r="I30">
        <f>SUM(H30)</f>
        <v>0</v>
      </c>
      <c r="J30" s="18">
        <f>SUM(J23:J29)</f>
        <v>264</v>
      </c>
    </row>
  </sheetData>
  <mergeCells count="2">
    <mergeCell ref="C5:C6"/>
    <mergeCell ref="D5:F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S31"/>
  <sheetViews>
    <sheetView workbookViewId="0">
      <selection activeCell="H10" sqref="H10"/>
    </sheetView>
  </sheetViews>
  <sheetFormatPr defaultRowHeight="15" x14ac:dyDescent="0.25"/>
  <cols>
    <col min="1" max="1" width="7.7109375" bestFit="1" customWidth="1"/>
    <col min="2" max="2" width="7" bestFit="1" customWidth="1"/>
  </cols>
  <sheetData>
    <row r="1" spans="1:19" x14ac:dyDescent="0.25">
      <c r="A1" s="34" t="s">
        <v>73</v>
      </c>
      <c r="B1" t="s">
        <v>75</v>
      </c>
    </row>
    <row r="5" spans="1:19" x14ac:dyDescent="0.25">
      <c r="E5" s="33" t="s">
        <v>114</v>
      </c>
      <c r="F5" s="33" t="s">
        <v>115</v>
      </c>
      <c r="G5" s="33" t="s">
        <v>116</v>
      </c>
      <c r="H5" s="33" t="s">
        <v>117</v>
      </c>
      <c r="I5" s="33" t="s">
        <v>118</v>
      </c>
      <c r="J5" s="33" t="s">
        <v>119</v>
      </c>
    </row>
    <row r="6" spans="1:19" x14ac:dyDescent="0.25">
      <c r="E6" s="52"/>
      <c r="F6" s="52"/>
      <c r="G6" s="52"/>
      <c r="H6" s="52"/>
      <c r="I6" s="52"/>
      <c r="J6" s="52"/>
      <c r="N6" s="33" t="s">
        <v>114</v>
      </c>
      <c r="O6" s="33" t="s">
        <v>115</v>
      </c>
      <c r="P6" s="33" t="s">
        <v>116</v>
      </c>
      <c r="Q6" s="33" t="s">
        <v>117</v>
      </c>
      <c r="R6" s="33" t="s">
        <v>118</v>
      </c>
      <c r="S6" s="33" t="s">
        <v>119</v>
      </c>
    </row>
    <row r="7" spans="1:19" x14ac:dyDescent="0.25">
      <c r="E7" s="52"/>
      <c r="F7" s="52"/>
      <c r="G7" s="52"/>
      <c r="H7" s="52"/>
      <c r="I7" s="52"/>
      <c r="J7" s="52"/>
      <c r="N7">
        <v>1</v>
      </c>
    </row>
    <row r="8" spans="1:19" x14ac:dyDescent="0.25">
      <c r="E8" s="52"/>
      <c r="F8" s="52"/>
      <c r="G8" s="52"/>
      <c r="H8" s="52"/>
      <c r="I8" s="52"/>
      <c r="J8" s="52"/>
      <c r="N8">
        <v>2</v>
      </c>
    </row>
    <row r="9" spans="1:19" x14ac:dyDescent="0.25">
      <c r="E9" s="52"/>
      <c r="F9" s="52"/>
      <c r="G9" s="52"/>
      <c r="H9" s="52"/>
      <c r="I9" s="52"/>
      <c r="J9" s="52"/>
      <c r="N9">
        <v>3</v>
      </c>
    </row>
    <row r="10" spans="1:19" x14ac:dyDescent="0.25">
      <c r="E10" s="52"/>
      <c r="F10" s="52"/>
      <c r="G10" s="52"/>
      <c r="H10" s="52"/>
      <c r="I10" s="52"/>
      <c r="J10" s="52"/>
      <c r="N10" s="37">
        <v>3</v>
      </c>
    </row>
    <row r="11" spans="1:19" x14ac:dyDescent="0.25">
      <c r="E11" s="52"/>
      <c r="F11" s="52"/>
      <c r="G11" s="52"/>
      <c r="H11" s="52"/>
      <c r="I11" s="52"/>
      <c r="J11" s="52"/>
      <c r="N11" s="37">
        <v>3</v>
      </c>
    </row>
    <row r="12" spans="1:19" x14ac:dyDescent="0.25">
      <c r="E12" s="52"/>
      <c r="F12" s="52"/>
      <c r="G12" s="52"/>
      <c r="H12" s="52"/>
      <c r="I12" s="52"/>
      <c r="J12" s="52"/>
      <c r="N12" s="37">
        <v>3</v>
      </c>
    </row>
    <row r="13" spans="1:19" x14ac:dyDescent="0.25">
      <c r="E13" s="52"/>
      <c r="F13" s="52"/>
      <c r="G13" s="52"/>
      <c r="H13" s="52"/>
      <c r="I13" s="52"/>
      <c r="J13" s="52"/>
      <c r="N13" s="37">
        <v>3</v>
      </c>
    </row>
    <row r="14" spans="1:19" x14ac:dyDescent="0.25">
      <c r="E14" s="52"/>
      <c r="F14" s="52"/>
      <c r="G14" s="52"/>
      <c r="H14" s="52"/>
      <c r="I14" s="52"/>
      <c r="J14" s="52"/>
      <c r="N14" s="37">
        <v>3</v>
      </c>
    </row>
    <row r="15" spans="1:19" x14ac:dyDescent="0.25">
      <c r="E15" s="52"/>
      <c r="F15" s="52"/>
      <c r="G15" s="52"/>
      <c r="H15" s="52"/>
      <c r="I15" s="52"/>
      <c r="J15" s="52"/>
    </row>
    <row r="16" spans="1:19" x14ac:dyDescent="0.25">
      <c r="E16" s="52"/>
      <c r="F16" s="52"/>
      <c r="G16" s="52"/>
      <c r="H16" s="52"/>
      <c r="I16" s="52"/>
      <c r="J16" s="52"/>
      <c r="N16" s="37">
        <v>3</v>
      </c>
    </row>
    <row r="17" spans="5:14" x14ac:dyDescent="0.25">
      <c r="E17" s="52"/>
      <c r="F17" s="52"/>
      <c r="G17" s="52"/>
      <c r="H17" s="52"/>
      <c r="I17" s="52"/>
      <c r="J17" s="52"/>
      <c r="N17" s="37">
        <v>3</v>
      </c>
    </row>
    <row r="18" spans="5:14" x14ac:dyDescent="0.25">
      <c r="E18" s="52"/>
      <c r="F18" s="52"/>
      <c r="G18" s="52"/>
      <c r="H18" s="52"/>
      <c r="I18" s="52"/>
      <c r="J18" s="52"/>
      <c r="N18" s="37">
        <v>3</v>
      </c>
    </row>
    <row r="19" spans="5:14" x14ac:dyDescent="0.25">
      <c r="E19" s="52"/>
      <c r="F19" s="52"/>
      <c r="G19" s="52"/>
      <c r="H19" s="52"/>
      <c r="I19" s="52"/>
      <c r="J19" s="52"/>
      <c r="N19" s="37">
        <v>3</v>
      </c>
    </row>
    <row r="20" spans="5:14" x14ac:dyDescent="0.25">
      <c r="E20" s="52">
        <v>3</v>
      </c>
      <c r="F20" s="52"/>
      <c r="G20" s="52"/>
      <c r="H20" s="52"/>
      <c r="I20" s="52"/>
      <c r="J20" s="52"/>
    </row>
    <row r="21" spans="5:14" x14ac:dyDescent="0.25">
      <c r="E21">
        <v>3</v>
      </c>
    </row>
    <row r="22" spans="5:14" x14ac:dyDescent="0.25">
      <c r="E22">
        <v>3</v>
      </c>
    </row>
    <row r="23" spans="5:14" x14ac:dyDescent="0.25">
      <c r="E23">
        <v>3</v>
      </c>
    </row>
    <row r="24" spans="5:14" x14ac:dyDescent="0.25">
      <c r="E24">
        <v>3</v>
      </c>
    </row>
    <row r="25" spans="5:14" x14ac:dyDescent="0.25">
      <c r="E25">
        <v>3</v>
      </c>
    </row>
    <row r="26" spans="5:14" x14ac:dyDescent="0.25">
      <c r="E26">
        <v>3</v>
      </c>
    </row>
    <row r="27" spans="5:14" x14ac:dyDescent="0.25">
      <c r="E27">
        <v>3</v>
      </c>
    </row>
    <row r="28" spans="5:14" x14ac:dyDescent="0.25">
      <c r="E28">
        <v>3</v>
      </c>
    </row>
    <row r="29" spans="5:14" x14ac:dyDescent="0.25">
      <c r="E29">
        <v>3</v>
      </c>
    </row>
    <row r="30" spans="5:14" x14ac:dyDescent="0.25">
      <c r="E30">
        <v>1</v>
      </c>
    </row>
    <row r="31" spans="5:14" x14ac:dyDescent="0.25">
      <c r="E31">
        <v>23</v>
      </c>
    </row>
  </sheetData>
  <conditionalFormatting sqref="E5:J19 E20:E31">
    <cfRule type="expression" dxfId="14" priority="5">
      <formula>$E5</formula>
    </cfRule>
  </conditionalFormatting>
  <conditionalFormatting sqref="N6:S6">
    <cfRule type="expression" dxfId="13" priority="2">
      <formula>$N6</formula>
    </cfRule>
    <cfRule type="expression" dxfId="12" priority="3">
      <formula>$N6</formula>
    </cfRule>
    <cfRule type="expression" dxfId="11" priority="4">
      <formula>$E6</formula>
    </cfRule>
  </conditionalFormatting>
  <conditionalFormatting sqref="N6:S9 N10:N14 N16:N19">
    <cfRule type="expression" dxfId="10" priority="1">
      <formula>$N6</formula>
    </cfRule>
  </conditionalFormatting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21"/>
  <sheetViews>
    <sheetView workbookViewId="0">
      <selection activeCell="F25" sqref="F25"/>
    </sheetView>
  </sheetViews>
  <sheetFormatPr defaultRowHeight="15" x14ac:dyDescent="0.25"/>
  <cols>
    <col min="1" max="1" width="7.7109375" bestFit="1" customWidth="1"/>
    <col min="2" max="2" width="7.42578125" bestFit="1" customWidth="1"/>
  </cols>
  <sheetData>
    <row r="1" spans="1:19" x14ac:dyDescent="0.25">
      <c r="A1" s="34" t="s">
        <v>73</v>
      </c>
      <c r="B1" t="s">
        <v>76</v>
      </c>
    </row>
    <row r="4" spans="1:19" x14ac:dyDescent="0.25">
      <c r="E4" s="53">
        <f ca="1">RANDBETWEEN(37,99)</f>
        <v>40</v>
      </c>
      <c r="F4" s="53">
        <f ca="1">RANDBETWEEN(37,99)</f>
        <v>68</v>
      </c>
    </row>
    <row r="5" spans="1:19" x14ac:dyDescent="0.25">
      <c r="E5" s="53">
        <f t="shared" ref="E5:F19" ca="1" si="0">RANDBETWEEN(37,99)</f>
        <v>72</v>
      </c>
      <c r="F5" s="53">
        <f t="shared" ca="1" si="0"/>
        <v>92</v>
      </c>
      <c r="I5" s="53">
        <f ca="1">RANDBETWEEN(35,99)</f>
        <v>79</v>
      </c>
      <c r="J5" s="53">
        <f t="shared" ref="J5:P20" ca="1" si="1">RANDBETWEEN(35,99)</f>
        <v>98</v>
      </c>
      <c r="K5" s="53">
        <f t="shared" ca="1" si="1"/>
        <v>39</v>
      </c>
      <c r="L5" s="53">
        <f t="shared" ca="1" si="1"/>
        <v>62</v>
      </c>
      <c r="M5" s="53">
        <f t="shared" ca="1" si="1"/>
        <v>90</v>
      </c>
      <c r="N5" s="53">
        <f t="shared" ca="1" si="1"/>
        <v>72</v>
      </c>
      <c r="O5" s="53">
        <f t="shared" ca="1" si="1"/>
        <v>95</v>
      </c>
      <c r="P5" s="53">
        <f t="shared" ca="1" si="1"/>
        <v>48</v>
      </c>
    </row>
    <row r="6" spans="1:19" x14ac:dyDescent="0.25">
      <c r="E6" s="53">
        <f t="shared" ca="1" si="0"/>
        <v>42</v>
      </c>
      <c r="F6" s="53">
        <f t="shared" ca="1" si="0"/>
        <v>47</v>
      </c>
      <c r="I6" s="53">
        <f t="shared" ref="I6:I20" ca="1" si="2">RANDBETWEEN(35,99)</f>
        <v>55</v>
      </c>
      <c r="J6" s="53">
        <f t="shared" ca="1" si="1"/>
        <v>40</v>
      </c>
      <c r="K6" s="53">
        <f t="shared" ca="1" si="1"/>
        <v>42</v>
      </c>
      <c r="L6" s="53">
        <f t="shared" ca="1" si="1"/>
        <v>46</v>
      </c>
      <c r="M6" s="53">
        <f t="shared" ca="1" si="1"/>
        <v>38</v>
      </c>
      <c r="N6" s="53">
        <f t="shared" ca="1" si="1"/>
        <v>58</v>
      </c>
      <c r="O6" s="53">
        <f t="shared" ca="1" si="1"/>
        <v>44</v>
      </c>
      <c r="P6" s="53">
        <f t="shared" ca="1" si="1"/>
        <v>91</v>
      </c>
    </row>
    <row r="7" spans="1:19" x14ac:dyDescent="0.25">
      <c r="E7" s="53">
        <f t="shared" ca="1" si="0"/>
        <v>65</v>
      </c>
      <c r="F7" s="53">
        <f t="shared" ca="1" si="0"/>
        <v>64</v>
      </c>
      <c r="I7" s="53">
        <f t="shared" ca="1" si="2"/>
        <v>40</v>
      </c>
      <c r="J7" s="53">
        <f t="shared" ca="1" si="1"/>
        <v>73</v>
      </c>
      <c r="K7" s="53">
        <f t="shared" ca="1" si="1"/>
        <v>89</v>
      </c>
      <c r="L7" s="53">
        <f t="shared" ca="1" si="1"/>
        <v>62</v>
      </c>
      <c r="M7" s="53">
        <f t="shared" ca="1" si="1"/>
        <v>64</v>
      </c>
      <c r="N7" s="53">
        <f t="shared" ca="1" si="1"/>
        <v>77</v>
      </c>
      <c r="O7" s="53">
        <f t="shared" ca="1" si="1"/>
        <v>78</v>
      </c>
      <c r="P7" s="53">
        <f t="shared" ca="1" si="1"/>
        <v>94</v>
      </c>
    </row>
    <row r="8" spans="1:19" x14ac:dyDescent="0.25">
      <c r="E8" s="53">
        <f t="shared" ca="1" si="0"/>
        <v>62</v>
      </c>
      <c r="F8" s="53">
        <f t="shared" ca="1" si="0"/>
        <v>77</v>
      </c>
      <c r="I8" s="53">
        <f t="shared" ca="1" si="2"/>
        <v>64</v>
      </c>
      <c r="J8" s="53">
        <f t="shared" ca="1" si="1"/>
        <v>62</v>
      </c>
      <c r="K8" s="53">
        <f t="shared" ca="1" si="1"/>
        <v>62</v>
      </c>
      <c r="L8" s="53">
        <f t="shared" ca="1" si="1"/>
        <v>52</v>
      </c>
      <c r="M8" s="53">
        <f t="shared" ca="1" si="1"/>
        <v>48</v>
      </c>
      <c r="N8" s="53">
        <f t="shared" ca="1" si="1"/>
        <v>63</v>
      </c>
      <c r="O8" s="53">
        <f t="shared" ca="1" si="1"/>
        <v>71</v>
      </c>
      <c r="P8" s="53">
        <f t="shared" ca="1" si="1"/>
        <v>74</v>
      </c>
    </row>
    <row r="9" spans="1:19" x14ac:dyDescent="0.25">
      <c r="E9" s="53">
        <f t="shared" ca="1" si="0"/>
        <v>57</v>
      </c>
      <c r="F9" s="53">
        <f t="shared" ca="1" si="0"/>
        <v>66</v>
      </c>
      <c r="I9" s="53">
        <f t="shared" ca="1" si="2"/>
        <v>86</v>
      </c>
      <c r="J9" s="53">
        <f t="shared" ca="1" si="1"/>
        <v>80</v>
      </c>
      <c r="K9" s="53">
        <f t="shared" ca="1" si="1"/>
        <v>47</v>
      </c>
      <c r="L9" s="53">
        <f t="shared" ca="1" si="1"/>
        <v>81</v>
      </c>
      <c r="M9" s="53">
        <f t="shared" ca="1" si="1"/>
        <v>82</v>
      </c>
      <c r="N9" s="53">
        <f t="shared" ca="1" si="1"/>
        <v>91</v>
      </c>
      <c r="O9" s="53">
        <f t="shared" ca="1" si="1"/>
        <v>84</v>
      </c>
      <c r="P9" s="53">
        <f t="shared" ca="1" si="1"/>
        <v>97</v>
      </c>
    </row>
    <row r="10" spans="1:19" x14ac:dyDescent="0.25">
      <c r="E10" s="53">
        <f t="shared" ca="1" si="0"/>
        <v>74</v>
      </c>
      <c r="F10" s="53">
        <f t="shared" ca="1" si="0"/>
        <v>94</v>
      </c>
      <c r="I10" s="53">
        <f t="shared" ca="1" si="2"/>
        <v>35</v>
      </c>
      <c r="J10" s="53">
        <f t="shared" ca="1" si="1"/>
        <v>64</v>
      </c>
      <c r="K10" s="53">
        <f t="shared" ca="1" si="1"/>
        <v>95</v>
      </c>
      <c r="L10" s="53">
        <f t="shared" ca="1" si="1"/>
        <v>63</v>
      </c>
      <c r="M10" s="53">
        <f t="shared" ca="1" si="1"/>
        <v>67</v>
      </c>
      <c r="N10" s="53">
        <f t="shared" ca="1" si="1"/>
        <v>98</v>
      </c>
      <c r="O10" s="53">
        <f t="shared" ca="1" si="1"/>
        <v>87</v>
      </c>
      <c r="P10" s="53">
        <v>54</v>
      </c>
    </row>
    <row r="11" spans="1:19" x14ac:dyDescent="0.25">
      <c r="E11" s="53">
        <f t="shared" ca="1" si="0"/>
        <v>44</v>
      </c>
      <c r="F11" s="53">
        <f t="shared" ca="1" si="0"/>
        <v>67</v>
      </c>
      <c r="I11" s="53">
        <f t="shared" ca="1" si="2"/>
        <v>76</v>
      </c>
      <c r="J11" s="53">
        <f t="shared" ca="1" si="1"/>
        <v>87</v>
      </c>
      <c r="K11" s="53">
        <f t="shared" ca="1" si="1"/>
        <v>38</v>
      </c>
      <c r="L11" s="53">
        <f t="shared" ca="1" si="1"/>
        <v>60</v>
      </c>
      <c r="M11" s="53">
        <f t="shared" ca="1" si="1"/>
        <v>42</v>
      </c>
      <c r="N11" s="53">
        <f t="shared" ca="1" si="1"/>
        <v>98</v>
      </c>
      <c r="O11" s="53">
        <f t="shared" ca="1" si="1"/>
        <v>58</v>
      </c>
      <c r="P11" s="53">
        <f t="shared" ca="1" si="1"/>
        <v>64</v>
      </c>
    </row>
    <row r="12" spans="1:19" x14ac:dyDescent="0.25">
      <c r="E12" s="53">
        <f t="shared" ca="1" si="0"/>
        <v>57</v>
      </c>
      <c r="F12" s="53">
        <f t="shared" ca="1" si="0"/>
        <v>56</v>
      </c>
      <c r="I12" s="53">
        <f t="shared" ca="1" si="2"/>
        <v>70</v>
      </c>
      <c r="J12" s="53">
        <f t="shared" ca="1" si="1"/>
        <v>91</v>
      </c>
      <c r="K12" s="53">
        <f t="shared" ca="1" si="1"/>
        <v>44</v>
      </c>
      <c r="L12" s="53">
        <f t="shared" ca="1" si="1"/>
        <v>54</v>
      </c>
      <c r="M12" s="53">
        <f t="shared" ca="1" si="1"/>
        <v>89</v>
      </c>
      <c r="N12" s="53">
        <f t="shared" ca="1" si="1"/>
        <v>71</v>
      </c>
      <c r="O12" s="53">
        <f t="shared" ca="1" si="1"/>
        <v>36</v>
      </c>
      <c r="P12" s="53">
        <f t="shared" ca="1" si="1"/>
        <v>38</v>
      </c>
    </row>
    <row r="13" spans="1:19" x14ac:dyDescent="0.25">
      <c r="E13" s="53">
        <f t="shared" ca="1" si="0"/>
        <v>58</v>
      </c>
      <c r="F13" s="53">
        <f t="shared" ca="1" si="0"/>
        <v>99</v>
      </c>
      <c r="I13" s="53">
        <f t="shared" ca="1" si="2"/>
        <v>93</v>
      </c>
      <c r="J13" s="53">
        <f t="shared" ca="1" si="1"/>
        <v>66</v>
      </c>
      <c r="K13" s="53">
        <f t="shared" ca="1" si="1"/>
        <v>77</v>
      </c>
      <c r="L13" s="53">
        <f t="shared" ca="1" si="1"/>
        <v>68</v>
      </c>
      <c r="M13" s="53">
        <f t="shared" ca="1" si="1"/>
        <v>98</v>
      </c>
      <c r="N13" s="53">
        <f t="shared" ca="1" si="1"/>
        <v>80</v>
      </c>
      <c r="O13" s="53">
        <f t="shared" ca="1" si="1"/>
        <v>80</v>
      </c>
      <c r="P13" s="53">
        <f t="shared" ca="1" si="1"/>
        <v>88</v>
      </c>
    </row>
    <row r="14" spans="1:19" x14ac:dyDescent="0.25">
      <c r="E14" s="53">
        <f t="shared" ca="1" si="0"/>
        <v>97</v>
      </c>
      <c r="F14" s="53">
        <f t="shared" ca="1" si="0"/>
        <v>84</v>
      </c>
      <c r="I14" s="53">
        <f t="shared" ca="1" si="2"/>
        <v>46</v>
      </c>
      <c r="J14" s="53">
        <f t="shared" ca="1" si="1"/>
        <v>54</v>
      </c>
      <c r="K14" s="53">
        <f t="shared" ca="1" si="1"/>
        <v>90</v>
      </c>
      <c r="L14" s="53">
        <f t="shared" ca="1" si="1"/>
        <v>43</v>
      </c>
      <c r="M14" s="53">
        <f t="shared" ca="1" si="1"/>
        <v>87</v>
      </c>
      <c r="N14" s="53">
        <f t="shared" ca="1" si="1"/>
        <v>87</v>
      </c>
      <c r="O14" s="53">
        <f t="shared" ca="1" si="1"/>
        <v>49</v>
      </c>
      <c r="P14" s="53">
        <f t="shared" ca="1" si="1"/>
        <v>51</v>
      </c>
    </row>
    <row r="15" spans="1:19" x14ac:dyDescent="0.25">
      <c r="E15" s="53">
        <f t="shared" ca="1" si="0"/>
        <v>48</v>
      </c>
      <c r="F15" s="53">
        <f t="shared" ca="1" si="0"/>
        <v>52</v>
      </c>
      <c r="I15" s="53">
        <f t="shared" ca="1" si="2"/>
        <v>81</v>
      </c>
      <c r="J15" s="53">
        <f t="shared" ca="1" si="1"/>
        <v>98</v>
      </c>
      <c r="K15" s="53">
        <f t="shared" ca="1" si="1"/>
        <v>98</v>
      </c>
      <c r="L15" s="53">
        <f t="shared" ca="1" si="1"/>
        <v>47</v>
      </c>
      <c r="M15" s="53">
        <f t="shared" ca="1" si="1"/>
        <v>83</v>
      </c>
      <c r="N15" s="53">
        <f t="shared" ca="1" si="1"/>
        <v>72</v>
      </c>
      <c r="O15" s="53">
        <f t="shared" ca="1" si="1"/>
        <v>88</v>
      </c>
      <c r="P15" s="53">
        <f t="shared" ca="1" si="1"/>
        <v>44</v>
      </c>
    </row>
    <row r="16" spans="1:19" x14ac:dyDescent="0.25">
      <c r="E16" s="53">
        <f t="shared" ca="1" si="0"/>
        <v>70</v>
      </c>
      <c r="F16" s="53">
        <f t="shared" ca="1" si="0"/>
        <v>53</v>
      </c>
      <c r="I16" s="53">
        <f t="shared" ca="1" si="2"/>
        <v>65</v>
      </c>
      <c r="J16" s="53">
        <f t="shared" ca="1" si="1"/>
        <v>52</v>
      </c>
      <c r="K16" s="53">
        <f t="shared" ca="1" si="1"/>
        <v>55</v>
      </c>
      <c r="L16" s="53">
        <f t="shared" ca="1" si="1"/>
        <v>83</v>
      </c>
      <c r="M16" s="53">
        <f t="shared" ca="1" si="1"/>
        <v>53</v>
      </c>
      <c r="N16" s="53">
        <f t="shared" ca="1" si="1"/>
        <v>74</v>
      </c>
      <c r="O16" s="53">
        <f t="shared" ca="1" si="1"/>
        <v>71</v>
      </c>
      <c r="P16" s="53">
        <f t="shared" ca="1" si="1"/>
        <v>87</v>
      </c>
      <c r="S16" s="35"/>
    </row>
    <row r="17" spans="5:16" x14ac:dyDescent="0.25">
      <c r="E17" s="53">
        <f t="shared" ca="1" si="0"/>
        <v>50</v>
      </c>
      <c r="F17" s="53">
        <f t="shared" ca="1" si="0"/>
        <v>37</v>
      </c>
      <c r="I17" s="53">
        <f t="shared" ca="1" si="2"/>
        <v>92</v>
      </c>
      <c r="J17" s="53">
        <f t="shared" ca="1" si="1"/>
        <v>73</v>
      </c>
      <c r="K17" s="53">
        <f t="shared" ca="1" si="1"/>
        <v>62</v>
      </c>
      <c r="L17" s="53">
        <f t="shared" ca="1" si="1"/>
        <v>35</v>
      </c>
      <c r="M17" s="53">
        <f t="shared" ca="1" si="1"/>
        <v>55</v>
      </c>
      <c r="N17" s="53">
        <f t="shared" ca="1" si="1"/>
        <v>43</v>
      </c>
      <c r="O17" s="53">
        <f t="shared" ca="1" si="1"/>
        <v>50</v>
      </c>
      <c r="P17" s="53">
        <f t="shared" ca="1" si="1"/>
        <v>45</v>
      </c>
    </row>
    <row r="18" spans="5:16" x14ac:dyDescent="0.25">
      <c r="E18" s="53">
        <f t="shared" ca="1" si="0"/>
        <v>65</v>
      </c>
      <c r="F18" s="53">
        <f t="shared" ca="1" si="0"/>
        <v>38</v>
      </c>
      <c r="I18" s="53">
        <f t="shared" ca="1" si="2"/>
        <v>82</v>
      </c>
      <c r="J18" s="53">
        <f t="shared" ca="1" si="1"/>
        <v>82</v>
      </c>
      <c r="K18" s="53">
        <f t="shared" ca="1" si="1"/>
        <v>57</v>
      </c>
      <c r="L18" s="53">
        <f t="shared" ca="1" si="1"/>
        <v>62</v>
      </c>
      <c r="M18" s="53">
        <f t="shared" ca="1" si="1"/>
        <v>89</v>
      </c>
      <c r="N18" s="53">
        <f t="shared" ca="1" si="1"/>
        <v>71</v>
      </c>
      <c r="O18" s="53">
        <f t="shared" ca="1" si="1"/>
        <v>62</v>
      </c>
      <c r="P18" s="53">
        <f t="shared" ca="1" si="1"/>
        <v>77</v>
      </c>
    </row>
    <row r="19" spans="5:16" x14ac:dyDescent="0.25">
      <c r="E19" s="53">
        <f t="shared" ca="1" si="0"/>
        <v>45</v>
      </c>
      <c r="F19" s="53">
        <f t="shared" ca="1" si="0"/>
        <v>63</v>
      </c>
      <c r="I19" s="53">
        <f t="shared" ca="1" si="2"/>
        <v>47</v>
      </c>
      <c r="J19" s="53">
        <f t="shared" ca="1" si="1"/>
        <v>92</v>
      </c>
      <c r="K19" s="53">
        <f t="shared" ca="1" si="1"/>
        <v>84</v>
      </c>
      <c r="L19" s="53">
        <f t="shared" ca="1" si="1"/>
        <v>72</v>
      </c>
      <c r="M19" s="53">
        <f t="shared" ca="1" si="1"/>
        <v>37</v>
      </c>
      <c r="N19" s="53">
        <f t="shared" ca="1" si="1"/>
        <v>41</v>
      </c>
      <c r="O19" s="53">
        <f t="shared" ca="1" si="1"/>
        <v>70</v>
      </c>
      <c r="P19" s="53">
        <f t="shared" ca="1" si="1"/>
        <v>80</v>
      </c>
    </row>
    <row r="20" spans="5:16" x14ac:dyDescent="0.25">
      <c r="I20" s="53">
        <f t="shared" ca="1" si="2"/>
        <v>90</v>
      </c>
      <c r="J20" s="53">
        <f t="shared" ca="1" si="1"/>
        <v>54</v>
      </c>
      <c r="K20" s="53">
        <f t="shared" ca="1" si="1"/>
        <v>79</v>
      </c>
      <c r="L20" s="53">
        <f t="shared" ca="1" si="1"/>
        <v>74</v>
      </c>
      <c r="M20" s="53">
        <f t="shared" ca="1" si="1"/>
        <v>90</v>
      </c>
      <c r="N20" s="53">
        <f t="shared" ca="1" si="1"/>
        <v>53</v>
      </c>
      <c r="O20" s="53">
        <f t="shared" ca="1" si="1"/>
        <v>52</v>
      </c>
      <c r="P20" s="53">
        <f t="shared" ca="1" si="1"/>
        <v>80</v>
      </c>
    </row>
    <row r="21" spans="5:16" x14ac:dyDescent="0.25">
      <c r="I21" s="54">
        <f t="shared" ref="I21:P21" ca="1" si="3">SUM(I5:I20)</f>
        <v>1101</v>
      </c>
      <c r="J21" s="54">
        <f t="shared" ca="1" si="3"/>
        <v>1166</v>
      </c>
      <c r="K21" s="54">
        <f t="shared" ca="1" si="3"/>
        <v>1058</v>
      </c>
      <c r="L21" s="54">
        <f t="shared" ca="1" si="3"/>
        <v>964</v>
      </c>
      <c r="M21" s="54">
        <f t="shared" ca="1" si="3"/>
        <v>1112</v>
      </c>
      <c r="N21" s="54">
        <f t="shared" ca="1" si="3"/>
        <v>1149</v>
      </c>
      <c r="O21" s="54">
        <f t="shared" ca="1" si="3"/>
        <v>1075</v>
      </c>
      <c r="P21" s="54">
        <f t="shared" ca="1" si="3"/>
        <v>1112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F1:F964"/>
  <sheetViews>
    <sheetView workbookViewId="0">
      <selection activeCell="J30" sqref="J30"/>
    </sheetView>
  </sheetViews>
  <sheetFormatPr defaultRowHeight="15" x14ac:dyDescent="0.25"/>
  <cols>
    <col min="1" max="1" width="7.7109375" bestFit="1" customWidth="1"/>
    <col min="2" max="2" width="5.7109375" bestFit="1" customWidth="1"/>
  </cols>
  <sheetData>
    <row r="1" spans="6:6" x14ac:dyDescent="0.25">
      <c r="F1">
        <v>37</v>
      </c>
    </row>
    <row r="2" spans="6:6" x14ac:dyDescent="0.25">
      <c r="F2">
        <v>38</v>
      </c>
    </row>
    <row r="3" spans="6:6" x14ac:dyDescent="0.25">
      <c r="F3">
        <v>39</v>
      </c>
    </row>
    <row r="4" spans="6:6" x14ac:dyDescent="0.25">
      <c r="F4">
        <v>40</v>
      </c>
    </row>
    <row r="5" spans="6:6" x14ac:dyDescent="0.25">
      <c r="F5">
        <v>41</v>
      </c>
    </row>
    <row r="6" spans="6:6" x14ac:dyDescent="0.25">
      <c r="F6">
        <v>42</v>
      </c>
    </row>
    <row r="7" spans="6:6" x14ac:dyDescent="0.25">
      <c r="F7">
        <v>43</v>
      </c>
    </row>
    <row r="8" spans="6:6" x14ac:dyDescent="0.25">
      <c r="F8">
        <v>44</v>
      </c>
    </row>
    <row r="9" spans="6:6" x14ac:dyDescent="0.25">
      <c r="F9">
        <v>45</v>
      </c>
    </row>
    <row r="10" spans="6:6" x14ac:dyDescent="0.25">
      <c r="F10">
        <v>46</v>
      </c>
    </row>
    <row r="11" spans="6:6" x14ac:dyDescent="0.25">
      <c r="F11">
        <v>47</v>
      </c>
    </row>
    <row r="12" spans="6:6" x14ac:dyDescent="0.25">
      <c r="F12">
        <v>48</v>
      </c>
    </row>
    <row r="13" spans="6:6" x14ac:dyDescent="0.25">
      <c r="F13">
        <v>49</v>
      </c>
    </row>
    <row r="14" spans="6:6" x14ac:dyDescent="0.25">
      <c r="F14">
        <v>50</v>
      </c>
    </row>
    <row r="15" spans="6:6" x14ac:dyDescent="0.25">
      <c r="F15">
        <v>51</v>
      </c>
    </row>
    <row r="16" spans="6:6" x14ac:dyDescent="0.25">
      <c r="F16">
        <v>52</v>
      </c>
    </row>
    <row r="17" spans="6:6" x14ac:dyDescent="0.25">
      <c r="F17">
        <v>53</v>
      </c>
    </row>
    <row r="18" spans="6:6" x14ac:dyDescent="0.25">
      <c r="F18">
        <v>54</v>
      </c>
    </row>
    <row r="19" spans="6:6" x14ac:dyDescent="0.25">
      <c r="F19">
        <v>55</v>
      </c>
    </row>
    <row r="20" spans="6:6" x14ac:dyDescent="0.25">
      <c r="F20">
        <v>56</v>
      </c>
    </row>
    <row r="21" spans="6:6" x14ac:dyDescent="0.25">
      <c r="F21">
        <v>57</v>
      </c>
    </row>
    <row r="22" spans="6:6" x14ac:dyDescent="0.25">
      <c r="F22">
        <v>58</v>
      </c>
    </row>
    <row r="23" spans="6:6" x14ac:dyDescent="0.25">
      <c r="F23">
        <v>59</v>
      </c>
    </row>
    <row r="24" spans="6:6" x14ac:dyDescent="0.25">
      <c r="F24">
        <v>60</v>
      </c>
    </row>
    <row r="25" spans="6:6" x14ac:dyDescent="0.25">
      <c r="F25">
        <v>61</v>
      </c>
    </row>
    <row r="26" spans="6:6" x14ac:dyDescent="0.25">
      <c r="F26">
        <v>62</v>
      </c>
    </row>
    <row r="27" spans="6:6" x14ac:dyDescent="0.25">
      <c r="F27">
        <v>63</v>
      </c>
    </row>
    <row r="28" spans="6:6" x14ac:dyDescent="0.25">
      <c r="F28">
        <v>64</v>
      </c>
    </row>
    <row r="29" spans="6:6" x14ac:dyDescent="0.25">
      <c r="F29">
        <v>65</v>
      </c>
    </row>
    <row r="30" spans="6:6" x14ac:dyDescent="0.25">
      <c r="F30">
        <v>66</v>
      </c>
    </row>
    <row r="31" spans="6:6" x14ac:dyDescent="0.25">
      <c r="F31">
        <v>67</v>
      </c>
    </row>
    <row r="32" spans="6:6" x14ac:dyDescent="0.25">
      <c r="F32">
        <v>68</v>
      </c>
    </row>
    <row r="33" spans="6:6" x14ac:dyDescent="0.25">
      <c r="F33">
        <v>69</v>
      </c>
    </row>
    <row r="34" spans="6:6" x14ac:dyDescent="0.25">
      <c r="F34">
        <v>70</v>
      </c>
    </row>
    <row r="35" spans="6:6" x14ac:dyDescent="0.25">
      <c r="F35">
        <v>71</v>
      </c>
    </row>
    <row r="36" spans="6:6" x14ac:dyDescent="0.25">
      <c r="F36">
        <v>72</v>
      </c>
    </row>
    <row r="37" spans="6:6" x14ac:dyDescent="0.25">
      <c r="F37">
        <v>73</v>
      </c>
    </row>
    <row r="38" spans="6:6" x14ac:dyDescent="0.25">
      <c r="F38">
        <v>74</v>
      </c>
    </row>
    <row r="39" spans="6:6" x14ac:dyDescent="0.25">
      <c r="F39">
        <v>75</v>
      </c>
    </row>
    <row r="40" spans="6:6" x14ac:dyDescent="0.25">
      <c r="F40">
        <v>76</v>
      </c>
    </row>
    <row r="41" spans="6:6" x14ac:dyDescent="0.25">
      <c r="F41">
        <v>77</v>
      </c>
    </row>
    <row r="42" spans="6:6" x14ac:dyDescent="0.25">
      <c r="F42">
        <v>78</v>
      </c>
    </row>
    <row r="43" spans="6:6" x14ac:dyDescent="0.25">
      <c r="F43">
        <v>79</v>
      </c>
    </row>
    <row r="44" spans="6:6" x14ac:dyDescent="0.25">
      <c r="F44">
        <v>80</v>
      </c>
    </row>
    <row r="45" spans="6:6" x14ac:dyDescent="0.25">
      <c r="F45">
        <v>81</v>
      </c>
    </row>
    <row r="46" spans="6:6" x14ac:dyDescent="0.25">
      <c r="F46">
        <v>82</v>
      </c>
    </row>
    <row r="47" spans="6:6" x14ac:dyDescent="0.25">
      <c r="F47">
        <v>83</v>
      </c>
    </row>
    <row r="48" spans="6:6" x14ac:dyDescent="0.25">
      <c r="F48">
        <v>84</v>
      </c>
    </row>
    <row r="49" spans="6:6" x14ac:dyDescent="0.25">
      <c r="F49">
        <v>85</v>
      </c>
    </row>
    <row r="50" spans="6:6" x14ac:dyDescent="0.25">
      <c r="F50">
        <v>86</v>
      </c>
    </row>
    <row r="51" spans="6:6" x14ac:dyDescent="0.25">
      <c r="F51">
        <v>87</v>
      </c>
    </row>
    <row r="52" spans="6:6" x14ac:dyDescent="0.25">
      <c r="F52">
        <v>88</v>
      </c>
    </row>
    <row r="53" spans="6:6" x14ac:dyDescent="0.25">
      <c r="F53">
        <v>89</v>
      </c>
    </row>
    <row r="54" spans="6:6" x14ac:dyDescent="0.25">
      <c r="F54">
        <v>90</v>
      </c>
    </row>
    <row r="55" spans="6:6" x14ac:dyDescent="0.25">
      <c r="F55">
        <v>91</v>
      </c>
    </row>
    <row r="56" spans="6:6" x14ac:dyDescent="0.25">
      <c r="F56">
        <v>92</v>
      </c>
    </row>
    <row r="57" spans="6:6" x14ac:dyDescent="0.25">
      <c r="F57">
        <v>93</v>
      </c>
    </row>
    <row r="58" spans="6:6" x14ac:dyDescent="0.25">
      <c r="F58">
        <v>94</v>
      </c>
    </row>
    <row r="59" spans="6:6" x14ac:dyDescent="0.25">
      <c r="F59">
        <v>95</v>
      </c>
    </row>
    <row r="60" spans="6:6" x14ac:dyDescent="0.25">
      <c r="F60">
        <v>96</v>
      </c>
    </row>
    <row r="61" spans="6:6" x14ac:dyDescent="0.25">
      <c r="F61">
        <v>97</v>
      </c>
    </row>
    <row r="62" spans="6:6" x14ac:dyDescent="0.25">
      <c r="F62">
        <v>98</v>
      </c>
    </row>
    <row r="63" spans="6:6" x14ac:dyDescent="0.25">
      <c r="F63">
        <v>99</v>
      </c>
    </row>
    <row r="64" spans="6:6" x14ac:dyDescent="0.25">
      <c r="F64">
        <v>100</v>
      </c>
    </row>
    <row r="65" spans="6:6" x14ac:dyDescent="0.25">
      <c r="F65">
        <v>101</v>
      </c>
    </row>
    <row r="66" spans="6:6" x14ac:dyDescent="0.25">
      <c r="F66">
        <v>102</v>
      </c>
    </row>
    <row r="67" spans="6:6" x14ac:dyDescent="0.25">
      <c r="F67">
        <v>103</v>
      </c>
    </row>
    <row r="68" spans="6:6" x14ac:dyDescent="0.25">
      <c r="F68">
        <v>104</v>
      </c>
    </row>
    <row r="69" spans="6:6" x14ac:dyDescent="0.25">
      <c r="F69">
        <v>105</v>
      </c>
    </row>
    <row r="70" spans="6:6" x14ac:dyDescent="0.25">
      <c r="F70">
        <v>106</v>
      </c>
    </row>
    <row r="71" spans="6:6" x14ac:dyDescent="0.25">
      <c r="F71">
        <v>107</v>
      </c>
    </row>
    <row r="72" spans="6:6" x14ac:dyDescent="0.25">
      <c r="F72">
        <v>108</v>
      </c>
    </row>
    <row r="73" spans="6:6" x14ac:dyDescent="0.25">
      <c r="F73">
        <v>109</v>
      </c>
    </row>
    <row r="74" spans="6:6" x14ac:dyDescent="0.25">
      <c r="F74">
        <v>110</v>
      </c>
    </row>
    <row r="75" spans="6:6" x14ac:dyDescent="0.25">
      <c r="F75">
        <v>111</v>
      </c>
    </row>
    <row r="76" spans="6:6" x14ac:dyDescent="0.25">
      <c r="F76">
        <v>112</v>
      </c>
    </row>
    <row r="77" spans="6:6" x14ac:dyDescent="0.25">
      <c r="F77">
        <v>113</v>
      </c>
    </row>
    <row r="78" spans="6:6" x14ac:dyDescent="0.25">
      <c r="F78">
        <v>114</v>
      </c>
    </row>
    <row r="79" spans="6:6" x14ac:dyDescent="0.25">
      <c r="F79">
        <v>115</v>
      </c>
    </row>
    <row r="80" spans="6:6" x14ac:dyDescent="0.25">
      <c r="F80">
        <v>116</v>
      </c>
    </row>
    <row r="81" spans="6:6" x14ac:dyDescent="0.25">
      <c r="F81">
        <v>117</v>
      </c>
    </row>
    <row r="82" spans="6:6" x14ac:dyDescent="0.25">
      <c r="F82">
        <v>118</v>
      </c>
    </row>
    <row r="83" spans="6:6" x14ac:dyDescent="0.25">
      <c r="F83">
        <v>119</v>
      </c>
    </row>
    <row r="84" spans="6:6" x14ac:dyDescent="0.25">
      <c r="F84">
        <v>120</v>
      </c>
    </row>
    <row r="85" spans="6:6" x14ac:dyDescent="0.25">
      <c r="F85">
        <v>121</v>
      </c>
    </row>
    <row r="86" spans="6:6" x14ac:dyDescent="0.25">
      <c r="F86">
        <v>122</v>
      </c>
    </row>
    <row r="87" spans="6:6" x14ac:dyDescent="0.25">
      <c r="F87">
        <v>123</v>
      </c>
    </row>
    <row r="88" spans="6:6" x14ac:dyDescent="0.25">
      <c r="F88">
        <v>124</v>
      </c>
    </row>
    <row r="89" spans="6:6" x14ac:dyDescent="0.25">
      <c r="F89">
        <v>125</v>
      </c>
    </row>
    <row r="90" spans="6:6" x14ac:dyDescent="0.25">
      <c r="F90">
        <v>126</v>
      </c>
    </row>
    <row r="91" spans="6:6" x14ac:dyDescent="0.25">
      <c r="F91">
        <v>127</v>
      </c>
    </row>
    <row r="92" spans="6:6" x14ac:dyDescent="0.25">
      <c r="F92">
        <v>128</v>
      </c>
    </row>
    <row r="93" spans="6:6" x14ac:dyDescent="0.25">
      <c r="F93">
        <v>129</v>
      </c>
    </row>
    <row r="94" spans="6:6" x14ac:dyDescent="0.25">
      <c r="F94">
        <v>130</v>
      </c>
    </row>
    <row r="95" spans="6:6" x14ac:dyDescent="0.25">
      <c r="F95">
        <v>131</v>
      </c>
    </row>
    <row r="96" spans="6:6" x14ac:dyDescent="0.25">
      <c r="F96">
        <v>132</v>
      </c>
    </row>
    <row r="97" spans="6:6" x14ac:dyDescent="0.25">
      <c r="F97">
        <v>133</v>
      </c>
    </row>
    <row r="98" spans="6:6" x14ac:dyDescent="0.25">
      <c r="F98">
        <v>134</v>
      </c>
    </row>
    <row r="99" spans="6:6" x14ac:dyDescent="0.25">
      <c r="F99">
        <v>135</v>
      </c>
    </row>
    <row r="100" spans="6:6" x14ac:dyDescent="0.25">
      <c r="F100">
        <v>136</v>
      </c>
    </row>
    <row r="101" spans="6:6" x14ac:dyDescent="0.25">
      <c r="F101">
        <v>137</v>
      </c>
    </row>
    <row r="102" spans="6:6" x14ac:dyDescent="0.25">
      <c r="F102">
        <v>138</v>
      </c>
    </row>
    <row r="103" spans="6:6" x14ac:dyDescent="0.25">
      <c r="F103">
        <v>139</v>
      </c>
    </row>
    <row r="104" spans="6:6" x14ac:dyDescent="0.25">
      <c r="F104">
        <v>140</v>
      </c>
    </row>
    <row r="105" spans="6:6" x14ac:dyDescent="0.25">
      <c r="F105">
        <v>141</v>
      </c>
    </row>
    <row r="106" spans="6:6" x14ac:dyDescent="0.25">
      <c r="F106">
        <v>142</v>
      </c>
    </row>
    <row r="107" spans="6:6" x14ac:dyDescent="0.25">
      <c r="F107">
        <v>143</v>
      </c>
    </row>
    <row r="108" spans="6:6" x14ac:dyDescent="0.25">
      <c r="F108">
        <v>144</v>
      </c>
    </row>
    <row r="109" spans="6:6" x14ac:dyDescent="0.25">
      <c r="F109">
        <v>145</v>
      </c>
    </row>
    <row r="110" spans="6:6" x14ac:dyDescent="0.25">
      <c r="F110">
        <v>146</v>
      </c>
    </row>
    <row r="111" spans="6:6" x14ac:dyDescent="0.25">
      <c r="F111">
        <v>147</v>
      </c>
    </row>
    <row r="112" spans="6:6" x14ac:dyDescent="0.25">
      <c r="F112">
        <v>148</v>
      </c>
    </row>
    <row r="113" spans="6:6" x14ac:dyDescent="0.25">
      <c r="F113">
        <v>149</v>
      </c>
    </row>
    <row r="114" spans="6:6" x14ac:dyDescent="0.25">
      <c r="F114">
        <v>150</v>
      </c>
    </row>
    <row r="115" spans="6:6" x14ac:dyDescent="0.25">
      <c r="F115">
        <v>151</v>
      </c>
    </row>
    <row r="116" spans="6:6" x14ac:dyDescent="0.25">
      <c r="F116">
        <v>152</v>
      </c>
    </row>
    <row r="117" spans="6:6" x14ac:dyDescent="0.25">
      <c r="F117">
        <v>153</v>
      </c>
    </row>
    <row r="118" spans="6:6" x14ac:dyDescent="0.25">
      <c r="F118">
        <v>154</v>
      </c>
    </row>
    <row r="119" spans="6:6" x14ac:dyDescent="0.25">
      <c r="F119">
        <v>155</v>
      </c>
    </row>
    <row r="120" spans="6:6" x14ac:dyDescent="0.25">
      <c r="F120">
        <v>156</v>
      </c>
    </row>
    <row r="121" spans="6:6" x14ac:dyDescent="0.25">
      <c r="F121">
        <v>157</v>
      </c>
    </row>
    <row r="122" spans="6:6" x14ac:dyDescent="0.25">
      <c r="F122">
        <v>158</v>
      </c>
    </row>
    <row r="123" spans="6:6" x14ac:dyDescent="0.25">
      <c r="F123">
        <v>159</v>
      </c>
    </row>
    <row r="124" spans="6:6" x14ac:dyDescent="0.25">
      <c r="F124">
        <v>160</v>
      </c>
    </row>
    <row r="125" spans="6:6" x14ac:dyDescent="0.25">
      <c r="F125">
        <v>161</v>
      </c>
    </row>
    <row r="126" spans="6:6" x14ac:dyDescent="0.25">
      <c r="F126">
        <v>162</v>
      </c>
    </row>
    <row r="127" spans="6:6" x14ac:dyDescent="0.25">
      <c r="F127">
        <v>163</v>
      </c>
    </row>
    <row r="128" spans="6:6" x14ac:dyDescent="0.25">
      <c r="F128">
        <v>164</v>
      </c>
    </row>
    <row r="129" spans="6:6" x14ac:dyDescent="0.25">
      <c r="F129">
        <v>165</v>
      </c>
    </row>
    <row r="130" spans="6:6" x14ac:dyDescent="0.25">
      <c r="F130">
        <v>166</v>
      </c>
    </row>
    <row r="131" spans="6:6" x14ac:dyDescent="0.25">
      <c r="F131">
        <v>167</v>
      </c>
    </row>
    <row r="132" spans="6:6" x14ac:dyDescent="0.25">
      <c r="F132">
        <v>168</v>
      </c>
    </row>
    <row r="133" spans="6:6" x14ac:dyDescent="0.25">
      <c r="F133">
        <v>169</v>
      </c>
    </row>
    <row r="134" spans="6:6" x14ac:dyDescent="0.25">
      <c r="F134">
        <v>170</v>
      </c>
    </row>
    <row r="135" spans="6:6" x14ac:dyDescent="0.25">
      <c r="F135">
        <v>171</v>
      </c>
    </row>
    <row r="136" spans="6:6" x14ac:dyDescent="0.25">
      <c r="F136">
        <v>172</v>
      </c>
    </row>
    <row r="137" spans="6:6" x14ac:dyDescent="0.25">
      <c r="F137">
        <v>173</v>
      </c>
    </row>
    <row r="138" spans="6:6" x14ac:dyDescent="0.25">
      <c r="F138">
        <v>174</v>
      </c>
    </row>
    <row r="139" spans="6:6" x14ac:dyDescent="0.25">
      <c r="F139">
        <v>175</v>
      </c>
    </row>
    <row r="140" spans="6:6" x14ac:dyDescent="0.25">
      <c r="F140">
        <v>176</v>
      </c>
    </row>
    <row r="141" spans="6:6" x14ac:dyDescent="0.25">
      <c r="F141">
        <v>177</v>
      </c>
    </row>
    <row r="142" spans="6:6" x14ac:dyDescent="0.25">
      <c r="F142">
        <v>178</v>
      </c>
    </row>
    <row r="143" spans="6:6" x14ac:dyDescent="0.25">
      <c r="F143">
        <v>179</v>
      </c>
    </row>
    <row r="144" spans="6:6" x14ac:dyDescent="0.25">
      <c r="F144">
        <v>180</v>
      </c>
    </row>
    <row r="145" spans="6:6" x14ac:dyDescent="0.25">
      <c r="F145">
        <v>181</v>
      </c>
    </row>
    <row r="146" spans="6:6" x14ac:dyDescent="0.25">
      <c r="F146">
        <v>182</v>
      </c>
    </row>
    <row r="147" spans="6:6" x14ac:dyDescent="0.25">
      <c r="F147">
        <v>183</v>
      </c>
    </row>
    <row r="148" spans="6:6" x14ac:dyDescent="0.25">
      <c r="F148">
        <v>184</v>
      </c>
    </row>
    <row r="149" spans="6:6" x14ac:dyDescent="0.25">
      <c r="F149">
        <v>185</v>
      </c>
    </row>
    <row r="150" spans="6:6" x14ac:dyDescent="0.25">
      <c r="F150">
        <v>186</v>
      </c>
    </row>
    <row r="151" spans="6:6" x14ac:dyDescent="0.25">
      <c r="F151">
        <v>187</v>
      </c>
    </row>
    <row r="152" spans="6:6" x14ac:dyDescent="0.25">
      <c r="F152">
        <v>188</v>
      </c>
    </row>
    <row r="153" spans="6:6" x14ac:dyDescent="0.25">
      <c r="F153">
        <v>189</v>
      </c>
    </row>
    <row r="154" spans="6:6" x14ac:dyDescent="0.25">
      <c r="F154">
        <v>190</v>
      </c>
    </row>
    <row r="155" spans="6:6" x14ac:dyDescent="0.25">
      <c r="F155">
        <v>191</v>
      </c>
    </row>
    <row r="156" spans="6:6" x14ac:dyDescent="0.25">
      <c r="F156">
        <v>192</v>
      </c>
    </row>
    <row r="157" spans="6:6" x14ac:dyDescent="0.25">
      <c r="F157">
        <v>193</v>
      </c>
    </row>
    <row r="158" spans="6:6" x14ac:dyDescent="0.25">
      <c r="F158">
        <v>194</v>
      </c>
    </row>
    <row r="159" spans="6:6" x14ac:dyDescent="0.25">
      <c r="F159">
        <v>195</v>
      </c>
    </row>
    <row r="160" spans="6:6" x14ac:dyDescent="0.25">
      <c r="F160">
        <v>196</v>
      </c>
    </row>
    <row r="161" spans="6:6" x14ac:dyDescent="0.25">
      <c r="F161">
        <v>197</v>
      </c>
    </row>
    <row r="162" spans="6:6" x14ac:dyDescent="0.25">
      <c r="F162">
        <v>198</v>
      </c>
    </row>
    <row r="163" spans="6:6" x14ac:dyDescent="0.25">
      <c r="F163">
        <v>199</v>
      </c>
    </row>
    <row r="164" spans="6:6" x14ac:dyDescent="0.25">
      <c r="F164">
        <v>200</v>
      </c>
    </row>
    <row r="165" spans="6:6" x14ac:dyDescent="0.25">
      <c r="F165">
        <v>201</v>
      </c>
    </row>
    <row r="166" spans="6:6" x14ac:dyDescent="0.25">
      <c r="F166">
        <v>202</v>
      </c>
    </row>
    <row r="167" spans="6:6" x14ac:dyDescent="0.25">
      <c r="F167">
        <v>203</v>
      </c>
    </row>
    <row r="168" spans="6:6" x14ac:dyDescent="0.25">
      <c r="F168">
        <v>204</v>
      </c>
    </row>
    <row r="169" spans="6:6" x14ac:dyDescent="0.25">
      <c r="F169">
        <v>205</v>
      </c>
    </row>
    <row r="170" spans="6:6" x14ac:dyDescent="0.25">
      <c r="F170">
        <v>206</v>
      </c>
    </row>
    <row r="171" spans="6:6" x14ac:dyDescent="0.25">
      <c r="F171">
        <v>207</v>
      </c>
    </row>
    <row r="172" spans="6:6" x14ac:dyDescent="0.25">
      <c r="F172">
        <v>208</v>
      </c>
    </row>
    <row r="173" spans="6:6" x14ac:dyDescent="0.25">
      <c r="F173">
        <v>209</v>
      </c>
    </row>
    <row r="174" spans="6:6" x14ac:dyDescent="0.25">
      <c r="F174">
        <v>210</v>
      </c>
    </row>
    <row r="175" spans="6:6" x14ac:dyDescent="0.25">
      <c r="F175">
        <v>211</v>
      </c>
    </row>
    <row r="176" spans="6:6" x14ac:dyDescent="0.25">
      <c r="F176">
        <v>212</v>
      </c>
    </row>
    <row r="177" spans="6:6" x14ac:dyDescent="0.25">
      <c r="F177">
        <v>213</v>
      </c>
    </row>
    <row r="178" spans="6:6" x14ac:dyDescent="0.25">
      <c r="F178">
        <v>214</v>
      </c>
    </row>
    <row r="179" spans="6:6" x14ac:dyDescent="0.25">
      <c r="F179">
        <v>215</v>
      </c>
    </row>
    <row r="180" spans="6:6" x14ac:dyDescent="0.25">
      <c r="F180">
        <v>216</v>
      </c>
    </row>
    <row r="181" spans="6:6" x14ac:dyDescent="0.25">
      <c r="F181">
        <v>217</v>
      </c>
    </row>
    <row r="182" spans="6:6" x14ac:dyDescent="0.25">
      <c r="F182">
        <v>218</v>
      </c>
    </row>
    <row r="183" spans="6:6" x14ac:dyDescent="0.25">
      <c r="F183">
        <v>219</v>
      </c>
    </row>
    <row r="184" spans="6:6" x14ac:dyDescent="0.25">
      <c r="F184">
        <v>220</v>
      </c>
    </row>
    <row r="185" spans="6:6" x14ac:dyDescent="0.25">
      <c r="F185">
        <v>221</v>
      </c>
    </row>
    <row r="186" spans="6:6" x14ac:dyDescent="0.25">
      <c r="F186">
        <v>222</v>
      </c>
    </row>
    <row r="187" spans="6:6" x14ac:dyDescent="0.25">
      <c r="F187">
        <v>223</v>
      </c>
    </row>
    <row r="188" spans="6:6" x14ac:dyDescent="0.25">
      <c r="F188">
        <v>224</v>
      </c>
    </row>
    <row r="189" spans="6:6" x14ac:dyDescent="0.25">
      <c r="F189">
        <v>225</v>
      </c>
    </row>
    <row r="190" spans="6:6" x14ac:dyDescent="0.25">
      <c r="F190">
        <v>226</v>
      </c>
    </row>
    <row r="191" spans="6:6" x14ac:dyDescent="0.25">
      <c r="F191">
        <v>227</v>
      </c>
    </row>
    <row r="192" spans="6:6" x14ac:dyDescent="0.25">
      <c r="F192">
        <v>228</v>
      </c>
    </row>
    <row r="193" spans="6:6" x14ac:dyDescent="0.25">
      <c r="F193">
        <v>229</v>
      </c>
    </row>
    <row r="194" spans="6:6" x14ac:dyDescent="0.25">
      <c r="F194">
        <v>230</v>
      </c>
    </row>
    <row r="195" spans="6:6" x14ac:dyDescent="0.25">
      <c r="F195">
        <v>231</v>
      </c>
    </row>
    <row r="196" spans="6:6" x14ac:dyDescent="0.25">
      <c r="F196">
        <v>232</v>
      </c>
    </row>
    <row r="197" spans="6:6" x14ac:dyDescent="0.25">
      <c r="F197">
        <v>233</v>
      </c>
    </row>
    <row r="198" spans="6:6" x14ac:dyDescent="0.25">
      <c r="F198">
        <v>234</v>
      </c>
    </row>
    <row r="199" spans="6:6" x14ac:dyDescent="0.25">
      <c r="F199">
        <v>235</v>
      </c>
    </row>
    <row r="200" spans="6:6" x14ac:dyDescent="0.25">
      <c r="F200">
        <v>236</v>
      </c>
    </row>
    <row r="201" spans="6:6" x14ac:dyDescent="0.25">
      <c r="F201">
        <v>237</v>
      </c>
    </row>
    <row r="202" spans="6:6" x14ac:dyDescent="0.25">
      <c r="F202">
        <v>238</v>
      </c>
    </row>
    <row r="203" spans="6:6" x14ac:dyDescent="0.25">
      <c r="F203">
        <v>239</v>
      </c>
    </row>
    <row r="204" spans="6:6" x14ac:dyDescent="0.25">
      <c r="F204">
        <v>240</v>
      </c>
    </row>
    <row r="205" spans="6:6" x14ac:dyDescent="0.25">
      <c r="F205">
        <v>241</v>
      </c>
    </row>
    <row r="206" spans="6:6" x14ac:dyDescent="0.25">
      <c r="F206">
        <v>242</v>
      </c>
    </row>
    <row r="207" spans="6:6" x14ac:dyDescent="0.25">
      <c r="F207">
        <v>243</v>
      </c>
    </row>
    <row r="208" spans="6:6" x14ac:dyDescent="0.25">
      <c r="F208">
        <v>244</v>
      </c>
    </row>
    <row r="209" spans="6:6" x14ac:dyDescent="0.25">
      <c r="F209">
        <v>245</v>
      </c>
    </row>
    <row r="210" spans="6:6" x14ac:dyDescent="0.25">
      <c r="F210">
        <v>246</v>
      </c>
    </row>
    <row r="211" spans="6:6" x14ac:dyDescent="0.25">
      <c r="F211">
        <v>247</v>
      </c>
    </row>
    <row r="212" spans="6:6" x14ac:dyDescent="0.25">
      <c r="F212">
        <v>248</v>
      </c>
    </row>
    <row r="213" spans="6:6" x14ac:dyDescent="0.25">
      <c r="F213">
        <v>249</v>
      </c>
    </row>
    <row r="214" spans="6:6" x14ac:dyDescent="0.25">
      <c r="F214">
        <v>250</v>
      </c>
    </row>
    <row r="215" spans="6:6" x14ac:dyDescent="0.25">
      <c r="F215">
        <v>251</v>
      </c>
    </row>
    <row r="216" spans="6:6" x14ac:dyDescent="0.25">
      <c r="F216">
        <v>252</v>
      </c>
    </row>
    <row r="217" spans="6:6" x14ac:dyDescent="0.25">
      <c r="F217">
        <v>253</v>
      </c>
    </row>
    <row r="218" spans="6:6" x14ac:dyDescent="0.25">
      <c r="F218">
        <v>254</v>
      </c>
    </row>
    <row r="219" spans="6:6" x14ac:dyDescent="0.25">
      <c r="F219">
        <v>255</v>
      </c>
    </row>
    <row r="220" spans="6:6" x14ac:dyDescent="0.25">
      <c r="F220">
        <v>256</v>
      </c>
    </row>
    <row r="221" spans="6:6" x14ac:dyDescent="0.25">
      <c r="F221">
        <v>257</v>
      </c>
    </row>
    <row r="222" spans="6:6" x14ac:dyDescent="0.25">
      <c r="F222">
        <v>258</v>
      </c>
    </row>
    <row r="223" spans="6:6" x14ac:dyDescent="0.25">
      <c r="F223">
        <v>259</v>
      </c>
    </row>
    <row r="224" spans="6:6" x14ac:dyDescent="0.25">
      <c r="F224">
        <v>260</v>
      </c>
    </row>
    <row r="225" spans="6:6" x14ac:dyDescent="0.25">
      <c r="F225">
        <v>261</v>
      </c>
    </row>
    <row r="226" spans="6:6" x14ac:dyDescent="0.25">
      <c r="F226">
        <v>262</v>
      </c>
    </row>
    <row r="227" spans="6:6" x14ac:dyDescent="0.25">
      <c r="F227">
        <v>263</v>
      </c>
    </row>
    <row r="228" spans="6:6" x14ac:dyDescent="0.25">
      <c r="F228">
        <v>264</v>
      </c>
    </row>
    <row r="229" spans="6:6" x14ac:dyDescent="0.25">
      <c r="F229">
        <v>265</v>
      </c>
    </row>
    <row r="230" spans="6:6" x14ac:dyDescent="0.25">
      <c r="F230">
        <v>266</v>
      </c>
    </row>
    <row r="231" spans="6:6" x14ac:dyDescent="0.25">
      <c r="F231">
        <v>267</v>
      </c>
    </row>
    <row r="232" spans="6:6" x14ac:dyDescent="0.25">
      <c r="F232">
        <v>268</v>
      </c>
    </row>
    <row r="233" spans="6:6" x14ac:dyDescent="0.25">
      <c r="F233">
        <v>269</v>
      </c>
    </row>
    <row r="234" spans="6:6" x14ac:dyDescent="0.25">
      <c r="F234">
        <v>270</v>
      </c>
    </row>
    <row r="235" spans="6:6" x14ac:dyDescent="0.25">
      <c r="F235">
        <v>271</v>
      </c>
    </row>
    <row r="236" spans="6:6" x14ac:dyDescent="0.25">
      <c r="F236">
        <v>272</v>
      </c>
    </row>
    <row r="237" spans="6:6" x14ac:dyDescent="0.25">
      <c r="F237">
        <v>273</v>
      </c>
    </row>
    <row r="238" spans="6:6" x14ac:dyDescent="0.25">
      <c r="F238">
        <v>274</v>
      </c>
    </row>
    <row r="239" spans="6:6" x14ac:dyDescent="0.25">
      <c r="F239">
        <v>275</v>
      </c>
    </row>
    <row r="240" spans="6:6" x14ac:dyDescent="0.25">
      <c r="F240">
        <v>276</v>
      </c>
    </row>
    <row r="241" spans="6:6" x14ac:dyDescent="0.25">
      <c r="F241">
        <v>277</v>
      </c>
    </row>
    <row r="242" spans="6:6" x14ac:dyDescent="0.25">
      <c r="F242">
        <v>278</v>
      </c>
    </row>
    <row r="243" spans="6:6" x14ac:dyDescent="0.25">
      <c r="F243">
        <v>279</v>
      </c>
    </row>
    <row r="244" spans="6:6" x14ac:dyDescent="0.25">
      <c r="F244">
        <v>280</v>
      </c>
    </row>
    <row r="245" spans="6:6" x14ac:dyDescent="0.25">
      <c r="F245">
        <v>281</v>
      </c>
    </row>
    <row r="246" spans="6:6" x14ac:dyDescent="0.25">
      <c r="F246">
        <v>282</v>
      </c>
    </row>
    <row r="247" spans="6:6" x14ac:dyDescent="0.25">
      <c r="F247">
        <v>283</v>
      </c>
    </row>
    <row r="248" spans="6:6" x14ac:dyDescent="0.25">
      <c r="F248">
        <v>284</v>
      </c>
    </row>
    <row r="249" spans="6:6" x14ac:dyDescent="0.25">
      <c r="F249">
        <v>285</v>
      </c>
    </row>
    <row r="250" spans="6:6" x14ac:dyDescent="0.25">
      <c r="F250">
        <v>286</v>
      </c>
    </row>
    <row r="251" spans="6:6" x14ac:dyDescent="0.25">
      <c r="F251">
        <v>287</v>
      </c>
    </row>
    <row r="252" spans="6:6" x14ac:dyDescent="0.25">
      <c r="F252">
        <v>288</v>
      </c>
    </row>
    <row r="253" spans="6:6" x14ac:dyDescent="0.25">
      <c r="F253">
        <v>289</v>
      </c>
    </row>
    <row r="254" spans="6:6" x14ac:dyDescent="0.25">
      <c r="F254">
        <v>290</v>
      </c>
    </row>
    <row r="255" spans="6:6" x14ac:dyDescent="0.25">
      <c r="F255">
        <v>291</v>
      </c>
    </row>
    <row r="256" spans="6:6" x14ac:dyDescent="0.25">
      <c r="F256">
        <v>292</v>
      </c>
    </row>
    <row r="257" spans="6:6" x14ac:dyDescent="0.25">
      <c r="F257">
        <v>293</v>
      </c>
    </row>
    <row r="258" spans="6:6" x14ac:dyDescent="0.25">
      <c r="F258">
        <v>294</v>
      </c>
    </row>
    <row r="259" spans="6:6" x14ac:dyDescent="0.25">
      <c r="F259">
        <v>295</v>
      </c>
    </row>
    <row r="260" spans="6:6" x14ac:dyDescent="0.25">
      <c r="F260">
        <v>296</v>
      </c>
    </row>
    <row r="261" spans="6:6" x14ac:dyDescent="0.25">
      <c r="F261">
        <v>297</v>
      </c>
    </row>
    <row r="262" spans="6:6" x14ac:dyDescent="0.25">
      <c r="F262">
        <v>298</v>
      </c>
    </row>
    <row r="263" spans="6:6" x14ac:dyDescent="0.25">
      <c r="F263">
        <v>299</v>
      </c>
    </row>
    <row r="264" spans="6:6" x14ac:dyDescent="0.25">
      <c r="F264">
        <v>300</v>
      </c>
    </row>
    <row r="265" spans="6:6" x14ac:dyDescent="0.25">
      <c r="F265">
        <v>301</v>
      </c>
    </row>
    <row r="266" spans="6:6" x14ac:dyDescent="0.25">
      <c r="F266">
        <v>302</v>
      </c>
    </row>
    <row r="267" spans="6:6" x14ac:dyDescent="0.25">
      <c r="F267">
        <v>303</v>
      </c>
    </row>
    <row r="268" spans="6:6" x14ac:dyDescent="0.25">
      <c r="F268">
        <v>304</v>
      </c>
    </row>
    <row r="269" spans="6:6" x14ac:dyDescent="0.25">
      <c r="F269">
        <v>305</v>
      </c>
    </row>
    <row r="270" spans="6:6" x14ac:dyDescent="0.25">
      <c r="F270">
        <v>306</v>
      </c>
    </row>
    <row r="271" spans="6:6" x14ac:dyDescent="0.25">
      <c r="F271">
        <v>307</v>
      </c>
    </row>
    <row r="272" spans="6:6" x14ac:dyDescent="0.25">
      <c r="F272">
        <v>308</v>
      </c>
    </row>
    <row r="273" spans="6:6" x14ac:dyDescent="0.25">
      <c r="F273">
        <v>309</v>
      </c>
    </row>
    <row r="274" spans="6:6" x14ac:dyDescent="0.25">
      <c r="F274">
        <v>310</v>
      </c>
    </row>
    <row r="275" spans="6:6" x14ac:dyDescent="0.25">
      <c r="F275">
        <v>311</v>
      </c>
    </row>
    <row r="276" spans="6:6" x14ac:dyDescent="0.25">
      <c r="F276">
        <v>312</v>
      </c>
    </row>
    <row r="277" spans="6:6" x14ac:dyDescent="0.25">
      <c r="F277">
        <v>313</v>
      </c>
    </row>
    <row r="278" spans="6:6" x14ac:dyDescent="0.25">
      <c r="F278">
        <v>314</v>
      </c>
    </row>
    <row r="279" spans="6:6" x14ac:dyDescent="0.25">
      <c r="F279">
        <v>315</v>
      </c>
    </row>
    <row r="280" spans="6:6" x14ac:dyDescent="0.25">
      <c r="F280">
        <v>316</v>
      </c>
    </row>
    <row r="281" spans="6:6" x14ac:dyDescent="0.25">
      <c r="F281">
        <v>317</v>
      </c>
    </row>
    <row r="282" spans="6:6" x14ac:dyDescent="0.25">
      <c r="F282">
        <v>318</v>
      </c>
    </row>
    <row r="283" spans="6:6" x14ac:dyDescent="0.25">
      <c r="F283">
        <v>319</v>
      </c>
    </row>
    <row r="284" spans="6:6" x14ac:dyDescent="0.25">
      <c r="F284">
        <v>320</v>
      </c>
    </row>
    <row r="285" spans="6:6" x14ac:dyDescent="0.25">
      <c r="F285">
        <v>321</v>
      </c>
    </row>
    <row r="286" spans="6:6" x14ac:dyDescent="0.25">
      <c r="F286">
        <v>322</v>
      </c>
    </row>
    <row r="287" spans="6:6" x14ac:dyDescent="0.25">
      <c r="F287">
        <v>323</v>
      </c>
    </row>
    <row r="288" spans="6:6" x14ac:dyDescent="0.25">
      <c r="F288">
        <v>324</v>
      </c>
    </row>
    <row r="289" spans="6:6" x14ac:dyDescent="0.25">
      <c r="F289">
        <v>325</v>
      </c>
    </row>
    <row r="290" spans="6:6" x14ac:dyDescent="0.25">
      <c r="F290">
        <v>326</v>
      </c>
    </row>
    <row r="291" spans="6:6" x14ac:dyDescent="0.25">
      <c r="F291">
        <v>327</v>
      </c>
    </row>
    <row r="292" spans="6:6" x14ac:dyDescent="0.25">
      <c r="F292">
        <v>328</v>
      </c>
    </row>
    <row r="293" spans="6:6" x14ac:dyDescent="0.25">
      <c r="F293">
        <v>329</v>
      </c>
    </row>
    <row r="294" spans="6:6" x14ac:dyDescent="0.25">
      <c r="F294">
        <v>330</v>
      </c>
    </row>
    <row r="295" spans="6:6" x14ac:dyDescent="0.25">
      <c r="F295">
        <v>331</v>
      </c>
    </row>
    <row r="296" spans="6:6" x14ac:dyDescent="0.25">
      <c r="F296">
        <v>332</v>
      </c>
    </row>
    <row r="297" spans="6:6" x14ac:dyDescent="0.25">
      <c r="F297">
        <v>333</v>
      </c>
    </row>
    <row r="298" spans="6:6" x14ac:dyDescent="0.25">
      <c r="F298">
        <v>334</v>
      </c>
    </row>
    <row r="299" spans="6:6" x14ac:dyDescent="0.25">
      <c r="F299">
        <v>335</v>
      </c>
    </row>
    <row r="300" spans="6:6" x14ac:dyDescent="0.25">
      <c r="F300">
        <v>336</v>
      </c>
    </row>
    <row r="301" spans="6:6" x14ac:dyDescent="0.25">
      <c r="F301">
        <v>337</v>
      </c>
    </row>
    <row r="302" spans="6:6" x14ac:dyDescent="0.25">
      <c r="F302">
        <v>338</v>
      </c>
    </row>
    <row r="303" spans="6:6" x14ac:dyDescent="0.25">
      <c r="F303">
        <v>339</v>
      </c>
    </row>
    <row r="304" spans="6:6" x14ac:dyDescent="0.25">
      <c r="F304">
        <v>340</v>
      </c>
    </row>
    <row r="305" spans="6:6" x14ac:dyDescent="0.25">
      <c r="F305">
        <v>341</v>
      </c>
    </row>
    <row r="306" spans="6:6" x14ac:dyDescent="0.25">
      <c r="F306">
        <v>342</v>
      </c>
    </row>
    <row r="307" spans="6:6" x14ac:dyDescent="0.25">
      <c r="F307">
        <v>343</v>
      </c>
    </row>
    <row r="308" spans="6:6" x14ac:dyDescent="0.25">
      <c r="F308">
        <v>344</v>
      </c>
    </row>
    <row r="309" spans="6:6" x14ac:dyDescent="0.25">
      <c r="F309">
        <v>345</v>
      </c>
    </row>
    <row r="310" spans="6:6" x14ac:dyDescent="0.25">
      <c r="F310">
        <v>346</v>
      </c>
    </row>
    <row r="311" spans="6:6" x14ac:dyDescent="0.25">
      <c r="F311">
        <v>347</v>
      </c>
    </row>
    <row r="312" spans="6:6" x14ac:dyDescent="0.25">
      <c r="F312">
        <v>348</v>
      </c>
    </row>
    <row r="313" spans="6:6" x14ac:dyDescent="0.25">
      <c r="F313">
        <v>349</v>
      </c>
    </row>
    <row r="314" spans="6:6" x14ac:dyDescent="0.25">
      <c r="F314">
        <v>350</v>
      </c>
    </row>
    <row r="315" spans="6:6" x14ac:dyDescent="0.25">
      <c r="F315">
        <v>351</v>
      </c>
    </row>
    <row r="316" spans="6:6" x14ac:dyDescent="0.25">
      <c r="F316">
        <v>352</v>
      </c>
    </row>
    <row r="317" spans="6:6" x14ac:dyDescent="0.25">
      <c r="F317">
        <v>353</v>
      </c>
    </row>
    <row r="318" spans="6:6" x14ac:dyDescent="0.25">
      <c r="F318">
        <v>354</v>
      </c>
    </row>
    <row r="319" spans="6:6" x14ac:dyDescent="0.25">
      <c r="F319">
        <v>355</v>
      </c>
    </row>
    <row r="320" spans="6:6" x14ac:dyDescent="0.25">
      <c r="F320">
        <v>356</v>
      </c>
    </row>
    <row r="321" spans="6:6" x14ac:dyDescent="0.25">
      <c r="F321">
        <v>357</v>
      </c>
    </row>
    <row r="322" spans="6:6" x14ac:dyDescent="0.25">
      <c r="F322">
        <v>358</v>
      </c>
    </row>
    <row r="323" spans="6:6" x14ac:dyDescent="0.25">
      <c r="F323">
        <v>359</v>
      </c>
    </row>
    <row r="324" spans="6:6" x14ac:dyDescent="0.25">
      <c r="F324">
        <v>360</v>
      </c>
    </row>
    <row r="325" spans="6:6" x14ac:dyDescent="0.25">
      <c r="F325">
        <v>361</v>
      </c>
    </row>
    <row r="326" spans="6:6" x14ac:dyDescent="0.25">
      <c r="F326">
        <v>362</v>
      </c>
    </row>
    <row r="327" spans="6:6" x14ac:dyDescent="0.25">
      <c r="F327">
        <v>363</v>
      </c>
    </row>
    <row r="328" spans="6:6" x14ac:dyDescent="0.25">
      <c r="F328">
        <v>364</v>
      </c>
    </row>
    <row r="329" spans="6:6" x14ac:dyDescent="0.25">
      <c r="F329">
        <v>365</v>
      </c>
    </row>
    <row r="330" spans="6:6" x14ac:dyDescent="0.25">
      <c r="F330">
        <v>366</v>
      </c>
    </row>
    <row r="331" spans="6:6" x14ac:dyDescent="0.25">
      <c r="F331">
        <v>367</v>
      </c>
    </row>
    <row r="332" spans="6:6" x14ac:dyDescent="0.25">
      <c r="F332">
        <v>368</v>
      </c>
    </row>
    <row r="333" spans="6:6" x14ac:dyDescent="0.25">
      <c r="F333">
        <v>369</v>
      </c>
    </row>
    <row r="334" spans="6:6" x14ac:dyDescent="0.25">
      <c r="F334">
        <v>370</v>
      </c>
    </row>
    <row r="335" spans="6:6" x14ac:dyDescent="0.25">
      <c r="F335">
        <v>371</v>
      </c>
    </row>
    <row r="336" spans="6:6" x14ac:dyDescent="0.25">
      <c r="F336">
        <v>372</v>
      </c>
    </row>
    <row r="337" spans="6:6" x14ac:dyDescent="0.25">
      <c r="F337">
        <v>373</v>
      </c>
    </row>
    <row r="338" spans="6:6" x14ac:dyDescent="0.25">
      <c r="F338">
        <v>374</v>
      </c>
    </row>
    <row r="339" spans="6:6" x14ac:dyDescent="0.25">
      <c r="F339">
        <v>375</v>
      </c>
    </row>
    <row r="340" spans="6:6" x14ac:dyDescent="0.25">
      <c r="F340">
        <v>376</v>
      </c>
    </row>
    <row r="341" spans="6:6" x14ac:dyDescent="0.25">
      <c r="F341">
        <v>377</v>
      </c>
    </row>
    <row r="342" spans="6:6" x14ac:dyDescent="0.25">
      <c r="F342">
        <v>378</v>
      </c>
    </row>
    <row r="343" spans="6:6" x14ac:dyDescent="0.25">
      <c r="F343">
        <v>379</v>
      </c>
    </row>
    <row r="344" spans="6:6" x14ac:dyDescent="0.25">
      <c r="F344">
        <v>380</v>
      </c>
    </row>
    <row r="345" spans="6:6" x14ac:dyDescent="0.25">
      <c r="F345">
        <v>381</v>
      </c>
    </row>
    <row r="346" spans="6:6" x14ac:dyDescent="0.25">
      <c r="F346">
        <v>382</v>
      </c>
    </row>
    <row r="347" spans="6:6" x14ac:dyDescent="0.25">
      <c r="F347">
        <v>383</v>
      </c>
    </row>
    <row r="348" spans="6:6" x14ac:dyDescent="0.25">
      <c r="F348">
        <v>384</v>
      </c>
    </row>
    <row r="349" spans="6:6" x14ac:dyDescent="0.25">
      <c r="F349">
        <v>385</v>
      </c>
    </row>
    <row r="350" spans="6:6" x14ac:dyDescent="0.25">
      <c r="F350">
        <v>386</v>
      </c>
    </row>
    <row r="351" spans="6:6" x14ac:dyDescent="0.25">
      <c r="F351">
        <v>387</v>
      </c>
    </row>
    <row r="352" spans="6:6" x14ac:dyDescent="0.25">
      <c r="F352">
        <v>388</v>
      </c>
    </row>
    <row r="353" spans="6:6" x14ac:dyDescent="0.25">
      <c r="F353">
        <v>389</v>
      </c>
    </row>
    <row r="354" spans="6:6" x14ac:dyDescent="0.25">
      <c r="F354">
        <v>390</v>
      </c>
    </row>
    <row r="355" spans="6:6" x14ac:dyDescent="0.25">
      <c r="F355">
        <v>391</v>
      </c>
    </row>
    <row r="356" spans="6:6" x14ac:dyDescent="0.25">
      <c r="F356">
        <v>392</v>
      </c>
    </row>
    <row r="357" spans="6:6" x14ac:dyDescent="0.25">
      <c r="F357">
        <v>393</v>
      </c>
    </row>
    <row r="358" spans="6:6" x14ac:dyDescent="0.25">
      <c r="F358">
        <v>394</v>
      </c>
    </row>
    <row r="359" spans="6:6" x14ac:dyDescent="0.25">
      <c r="F359">
        <v>395</v>
      </c>
    </row>
    <row r="360" spans="6:6" x14ac:dyDescent="0.25">
      <c r="F360">
        <v>396</v>
      </c>
    </row>
    <row r="361" spans="6:6" x14ac:dyDescent="0.25">
      <c r="F361">
        <v>397</v>
      </c>
    </row>
    <row r="362" spans="6:6" x14ac:dyDescent="0.25">
      <c r="F362">
        <v>398</v>
      </c>
    </row>
    <row r="363" spans="6:6" x14ac:dyDescent="0.25">
      <c r="F363">
        <v>399</v>
      </c>
    </row>
    <row r="364" spans="6:6" x14ac:dyDescent="0.25">
      <c r="F364">
        <v>400</v>
      </c>
    </row>
    <row r="365" spans="6:6" x14ac:dyDescent="0.25">
      <c r="F365">
        <v>401</v>
      </c>
    </row>
    <row r="366" spans="6:6" x14ac:dyDescent="0.25">
      <c r="F366">
        <v>402</v>
      </c>
    </row>
    <row r="367" spans="6:6" x14ac:dyDescent="0.25">
      <c r="F367">
        <v>403</v>
      </c>
    </row>
    <row r="368" spans="6:6" x14ac:dyDescent="0.25">
      <c r="F368">
        <v>404</v>
      </c>
    </row>
    <row r="369" spans="6:6" x14ac:dyDescent="0.25">
      <c r="F369">
        <v>405</v>
      </c>
    </row>
    <row r="370" spans="6:6" x14ac:dyDescent="0.25">
      <c r="F370">
        <v>406</v>
      </c>
    </row>
    <row r="371" spans="6:6" x14ac:dyDescent="0.25">
      <c r="F371">
        <v>407</v>
      </c>
    </row>
    <row r="372" spans="6:6" x14ac:dyDescent="0.25">
      <c r="F372">
        <v>408</v>
      </c>
    </row>
    <row r="373" spans="6:6" x14ac:dyDescent="0.25">
      <c r="F373">
        <v>409</v>
      </c>
    </row>
    <row r="374" spans="6:6" x14ac:dyDescent="0.25">
      <c r="F374">
        <v>410</v>
      </c>
    </row>
    <row r="375" spans="6:6" x14ac:dyDescent="0.25">
      <c r="F375">
        <v>411</v>
      </c>
    </row>
    <row r="376" spans="6:6" x14ac:dyDescent="0.25">
      <c r="F376">
        <v>412</v>
      </c>
    </row>
    <row r="377" spans="6:6" x14ac:dyDescent="0.25">
      <c r="F377">
        <v>413</v>
      </c>
    </row>
    <row r="378" spans="6:6" x14ac:dyDescent="0.25">
      <c r="F378">
        <v>414</v>
      </c>
    </row>
    <row r="379" spans="6:6" x14ac:dyDescent="0.25">
      <c r="F379">
        <v>415</v>
      </c>
    </row>
    <row r="380" spans="6:6" x14ac:dyDescent="0.25">
      <c r="F380">
        <v>416</v>
      </c>
    </row>
    <row r="381" spans="6:6" x14ac:dyDescent="0.25">
      <c r="F381">
        <v>417</v>
      </c>
    </row>
    <row r="382" spans="6:6" x14ac:dyDescent="0.25">
      <c r="F382">
        <v>418</v>
      </c>
    </row>
    <row r="383" spans="6:6" x14ac:dyDescent="0.25">
      <c r="F383">
        <v>419</v>
      </c>
    </row>
    <row r="384" spans="6:6" x14ac:dyDescent="0.25">
      <c r="F384">
        <v>420</v>
      </c>
    </row>
    <row r="385" spans="6:6" x14ac:dyDescent="0.25">
      <c r="F385">
        <v>421</v>
      </c>
    </row>
    <row r="386" spans="6:6" x14ac:dyDescent="0.25">
      <c r="F386">
        <v>422</v>
      </c>
    </row>
    <row r="387" spans="6:6" x14ac:dyDescent="0.25">
      <c r="F387">
        <v>423</v>
      </c>
    </row>
    <row r="388" spans="6:6" x14ac:dyDescent="0.25">
      <c r="F388">
        <v>424</v>
      </c>
    </row>
    <row r="389" spans="6:6" x14ac:dyDescent="0.25">
      <c r="F389">
        <v>425</v>
      </c>
    </row>
    <row r="390" spans="6:6" x14ac:dyDescent="0.25">
      <c r="F390">
        <v>426</v>
      </c>
    </row>
    <row r="391" spans="6:6" x14ac:dyDescent="0.25">
      <c r="F391">
        <v>427</v>
      </c>
    </row>
    <row r="392" spans="6:6" x14ac:dyDescent="0.25">
      <c r="F392">
        <v>428</v>
      </c>
    </row>
    <row r="393" spans="6:6" x14ac:dyDescent="0.25">
      <c r="F393">
        <v>429</v>
      </c>
    </row>
    <row r="394" spans="6:6" x14ac:dyDescent="0.25">
      <c r="F394">
        <v>430</v>
      </c>
    </row>
    <row r="395" spans="6:6" x14ac:dyDescent="0.25">
      <c r="F395">
        <v>431</v>
      </c>
    </row>
    <row r="396" spans="6:6" x14ac:dyDescent="0.25">
      <c r="F396">
        <v>432</v>
      </c>
    </row>
    <row r="397" spans="6:6" x14ac:dyDescent="0.25">
      <c r="F397">
        <v>433</v>
      </c>
    </row>
    <row r="398" spans="6:6" x14ac:dyDescent="0.25">
      <c r="F398">
        <v>434</v>
      </c>
    </row>
    <row r="399" spans="6:6" x14ac:dyDescent="0.25">
      <c r="F399">
        <v>435</v>
      </c>
    </row>
    <row r="400" spans="6:6" x14ac:dyDescent="0.25">
      <c r="F400">
        <v>436</v>
      </c>
    </row>
    <row r="401" spans="6:6" x14ac:dyDescent="0.25">
      <c r="F401">
        <v>437</v>
      </c>
    </row>
    <row r="402" spans="6:6" x14ac:dyDescent="0.25">
      <c r="F402">
        <v>438</v>
      </c>
    </row>
    <row r="403" spans="6:6" x14ac:dyDescent="0.25">
      <c r="F403">
        <v>439</v>
      </c>
    </row>
    <row r="404" spans="6:6" x14ac:dyDescent="0.25">
      <c r="F404">
        <v>440</v>
      </c>
    </row>
    <row r="405" spans="6:6" x14ac:dyDescent="0.25">
      <c r="F405">
        <v>441</v>
      </c>
    </row>
    <row r="406" spans="6:6" x14ac:dyDescent="0.25">
      <c r="F406">
        <v>442</v>
      </c>
    </row>
    <row r="407" spans="6:6" x14ac:dyDescent="0.25">
      <c r="F407">
        <v>443</v>
      </c>
    </row>
    <row r="408" spans="6:6" x14ac:dyDescent="0.25">
      <c r="F408">
        <v>444</v>
      </c>
    </row>
    <row r="409" spans="6:6" x14ac:dyDescent="0.25">
      <c r="F409">
        <v>445</v>
      </c>
    </row>
    <row r="410" spans="6:6" x14ac:dyDescent="0.25">
      <c r="F410">
        <v>446</v>
      </c>
    </row>
    <row r="411" spans="6:6" x14ac:dyDescent="0.25">
      <c r="F411">
        <v>447</v>
      </c>
    </row>
    <row r="412" spans="6:6" x14ac:dyDescent="0.25">
      <c r="F412">
        <v>448</v>
      </c>
    </row>
    <row r="413" spans="6:6" x14ac:dyDescent="0.25">
      <c r="F413">
        <v>449</v>
      </c>
    </row>
    <row r="414" spans="6:6" x14ac:dyDescent="0.25">
      <c r="F414">
        <v>450</v>
      </c>
    </row>
    <row r="415" spans="6:6" x14ac:dyDescent="0.25">
      <c r="F415">
        <v>451</v>
      </c>
    </row>
    <row r="416" spans="6:6" x14ac:dyDescent="0.25">
      <c r="F416">
        <v>452</v>
      </c>
    </row>
    <row r="417" spans="6:6" x14ac:dyDescent="0.25">
      <c r="F417">
        <v>453</v>
      </c>
    </row>
    <row r="418" spans="6:6" x14ac:dyDescent="0.25">
      <c r="F418">
        <v>454</v>
      </c>
    </row>
    <row r="419" spans="6:6" x14ac:dyDescent="0.25">
      <c r="F419">
        <v>455</v>
      </c>
    </row>
    <row r="420" spans="6:6" x14ac:dyDescent="0.25">
      <c r="F420">
        <v>456</v>
      </c>
    </row>
    <row r="421" spans="6:6" x14ac:dyDescent="0.25">
      <c r="F421">
        <v>457</v>
      </c>
    </row>
    <row r="422" spans="6:6" x14ac:dyDescent="0.25">
      <c r="F422">
        <v>458</v>
      </c>
    </row>
    <row r="423" spans="6:6" x14ac:dyDescent="0.25">
      <c r="F423">
        <v>459</v>
      </c>
    </row>
    <row r="424" spans="6:6" x14ac:dyDescent="0.25">
      <c r="F424">
        <v>460</v>
      </c>
    </row>
    <row r="425" spans="6:6" x14ac:dyDescent="0.25">
      <c r="F425">
        <v>461</v>
      </c>
    </row>
    <row r="426" spans="6:6" x14ac:dyDescent="0.25">
      <c r="F426">
        <v>462</v>
      </c>
    </row>
    <row r="427" spans="6:6" x14ac:dyDescent="0.25">
      <c r="F427">
        <v>463</v>
      </c>
    </row>
    <row r="428" spans="6:6" x14ac:dyDescent="0.25">
      <c r="F428">
        <v>464</v>
      </c>
    </row>
    <row r="429" spans="6:6" x14ac:dyDescent="0.25">
      <c r="F429">
        <v>465</v>
      </c>
    </row>
    <row r="430" spans="6:6" x14ac:dyDescent="0.25">
      <c r="F430">
        <v>466</v>
      </c>
    </row>
    <row r="431" spans="6:6" x14ac:dyDescent="0.25">
      <c r="F431">
        <v>467</v>
      </c>
    </row>
    <row r="432" spans="6:6" x14ac:dyDescent="0.25">
      <c r="F432">
        <v>468</v>
      </c>
    </row>
    <row r="433" spans="6:6" x14ac:dyDescent="0.25">
      <c r="F433">
        <v>469</v>
      </c>
    </row>
    <row r="434" spans="6:6" x14ac:dyDescent="0.25">
      <c r="F434">
        <v>470</v>
      </c>
    </row>
    <row r="435" spans="6:6" x14ac:dyDescent="0.25">
      <c r="F435">
        <v>471</v>
      </c>
    </row>
    <row r="436" spans="6:6" x14ac:dyDescent="0.25">
      <c r="F436">
        <v>472</v>
      </c>
    </row>
    <row r="437" spans="6:6" x14ac:dyDescent="0.25">
      <c r="F437">
        <v>473</v>
      </c>
    </row>
    <row r="438" spans="6:6" x14ac:dyDescent="0.25">
      <c r="F438">
        <v>474</v>
      </c>
    </row>
    <row r="439" spans="6:6" x14ac:dyDescent="0.25">
      <c r="F439">
        <v>475</v>
      </c>
    </row>
    <row r="440" spans="6:6" x14ac:dyDescent="0.25">
      <c r="F440">
        <v>476</v>
      </c>
    </row>
    <row r="441" spans="6:6" x14ac:dyDescent="0.25">
      <c r="F441">
        <v>477</v>
      </c>
    </row>
    <row r="442" spans="6:6" x14ac:dyDescent="0.25">
      <c r="F442">
        <v>478</v>
      </c>
    </row>
    <row r="443" spans="6:6" x14ac:dyDescent="0.25">
      <c r="F443">
        <v>479</v>
      </c>
    </row>
    <row r="444" spans="6:6" x14ac:dyDescent="0.25">
      <c r="F444">
        <v>480</v>
      </c>
    </row>
    <row r="445" spans="6:6" x14ac:dyDescent="0.25">
      <c r="F445">
        <v>481</v>
      </c>
    </row>
    <row r="446" spans="6:6" x14ac:dyDescent="0.25">
      <c r="F446">
        <v>482</v>
      </c>
    </row>
    <row r="447" spans="6:6" x14ac:dyDescent="0.25">
      <c r="F447">
        <v>483</v>
      </c>
    </row>
    <row r="448" spans="6:6" x14ac:dyDescent="0.25">
      <c r="F448">
        <v>484</v>
      </c>
    </row>
    <row r="449" spans="6:6" x14ac:dyDescent="0.25">
      <c r="F449">
        <v>485</v>
      </c>
    </row>
    <row r="450" spans="6:6" x14ac:dyDescent="0.25">
      <c r="F450">
        <v>486</v>
      </c>
    </row>
    <row r="451" spans="6:6" x14ac:dyDescent="0.25">
      <c r="F451">
        <v>487</v>
      </c>
    </row>
    <row r="452" spans="6:6" x14ac:dyDescent="0.25">
      <c r="F452">
        <v>488</v>
      </c>
    </row>
    <row r="453" spans="6:6" x14ac:dyDescent="0.25">
      <c r="F453">
        <v>489</v>
      </c>
    </row>
    <row r="454" spans="6:6" x14ac:dyDescent="0.25">
      <c r="F454">
        <v>490</v>
      </c>
    </row>
    <row r="455" spans="6:6" x14ac:dyDescent="0.25">
      <c r="F455">
        <v>491</v>
      </c>
    </row>
    <row r="456" spans="6:6" x14ac:dyDescent="0.25">
      <c r="F456">
        <v>492</v>
      </c>
    </row>
    <row r="457" spans="6:6" x14ac:dyDescent="0.25">
      <c r="F457">
        <v>493</v>
      </c>
    </row>
    <row r="458" spans="6:6" x14ac:dyDescent="0.25">
      <c r="F458">
        <v>494</v>
      </c>
    </row>
    <row r="459" spans="6:6" x14ac:dyDescent="0.25">
      <c r="F459">
        <v>495</v>
      </c>
    </row>
    <row r="460" spans="6:6" x14ac:dyDescent="0.25">
      <c r="F460">
        <v>496</v>
      </c>
    </row>
    <row r="461" spans="6:6" x14ac:dyDescent="0.25">
      <c r="F461">
        <v>497</v>
      </c>
    </row>
    <row r="462" spans="6:6" x14ac:dyDescent="0.25">
      <c r="F462">
        <v>498</v>
      </c>
    </row>
    <row r="463" spans="6:6" x14ac:dyDescent="0.25">
      <c r="F463">
        <v>499</v>
      </c>
    </row>
    <row r="464" spans="6:6" x14ac:dyDescent="0.25">
      <c r="F464">
        <v>500</v>
      </c>
    </row>
    <row r="465" spans="6:6" x14ac:dyDescent="0.25">
      <c r="F465">
        <v>501</v>
      </c>
    </row>
    <row r="466" spans="6:6" x14ac:dyDescent="0.25">
      <c r="F466">
        <v>502</v>
      </c>
    </row>
    <row r="467" spans="6:6" x14ac:dyDescent="0.25">
      <c r="F467">
        <v>503</v>
      </c>
    </row>
    <row r="468" spans="6:6" x14ac:dyDescent="0.25">
      <c r="F468">
        <v>504</v>
      </c>
    </row>
    <row r="469" spans="6:6" x14ac:dyDescent="0.25">
      <c r="F469">
        <v>505</v>
      </c>
    </row>
    <row r="470" spans="6:6" x14ac:dyDescent="0.25">
      <c r="F470">
        <v>506</v>
      </c>
    </row>
    <row r="471" spans="6:6" x14ac:dyDescent="0.25">
      <c r="F471">
        <v>507</v>
      </c>
    </row>
    <row r="472" spans="6:6" x14ac:dyDescent="0.25">
      <c r="F472">
        <v>508</v>
      </c>
    </row>
    <row r="473" spans="6:6" x14ac:dyDescent="0.25">
      <c r="F473">
        <v>509</v>
      </c>
    </row>
    <row r="474" spans="6:6" x14ac:dyDescent="0.25">
      <c r="F474">
        <v>510</v>
      </c>
    </row>
    <row r="475" spans="6:6" x14ac:dyDescent="0.25">
      <c r="F475">
        <v>511</v>
      </c>
    </row>
    <row r="476" spans="6:6" x14ac:dyDescent="0.25">
      <c r="F476">
        <v>512</v>
      </c>
    </row>
    <row r="477" spans="6:6" x14ac:dyDescent="0.25">
      <c r="F477">
        <v>513</v>
      </c>
    </row>
    <row r="478" spans="6:6" x14ac:dyDescent="0.25">
      <c r="F478">
        <v>514</v>
      </c>
    </row>
    <row r="479" spans="6:6" x14ac:dyDescent="0.25">
      <c r="F479">
        <v>515</v>
      </c>
    </row>
    <row r="480" spans="6:6" x14ac:dyDescent="0.25">
      <c r="F480">
        <v>516</v>
      </c>
    </row>
    <row r="481" spans="6:6" x14ac:dyDescent="0.25">
      <c r="F481">
        <v>517</v>
      </c>
    </row>
    <row r="482" spans="6:6" x14ac:dyDescent="0.25">
      <c r="F482">
        <v>518</v>
      </c>
    </row>
    <row r="483" spans="6:6" x14ac:dyDescent="0.25">
      <c r="F483">
        <v>519</v>
      </c>
    </row>
    <row r="484" spans="6:6" x14ac:dyDescent="0.25">
      <c r="F484">
        <v>520</v>
      </c>
    </row>
    <row r="485" spans="6:6" x14ac:dyDescent="0.25">
      <c r="F485">
        <v>521</v>
      </c>
    </row>
    <row r="486" spans="6:6" x14ac:dyDescent="0.25">
      <c r="F486">
        <v>522</v>
      </c>
    </row>
    <row r="487" spans="6:6" x14ac:dyDescent="0.25">
      <c r="F487">
        <v>523</v>
      </c>
    </row>
    <row r="488" spans="6:6" x14ac:dyDescent="0.25">
      <c r="F488">
        <v>524</v>
      </c>
    </row>
    <row r="489" spans="6:6" x14ac:dyDescent="0.25">
      <c r="F489">
        <v>525</v>
      </c>
    </row>
    <row r="490" spans="6:6" x14ac:dyDescent="0.25">
      <c r="F490">
        <v>526</v>
      </c>
    </row>
    <row r="491" spans="6:6" x14ac:dyDescent="0.25">
      <c r="F491">
        <v>527</v>
      </c>
    </row>
    <row r="492" spans="6:6" x14ac:dyDescent="0.25">
      <c r="F492">
        <v>528</v>
      </c>
    </row>
    <row r="493" spans="6:6" x14ac:dyDescent="0.25">
      <c r="F493">
        <v>529</v>
      </c>
    </row>
    <row r="494" spans="6:6" x14ac:dyDescent="0.25">
      <c r="F494">
        <v>530</v>
      </c>
    </row>
    <row r="495" spans="6:6" x14ac:dyDescent="0.25">
      <c r="F495">
        <v>531</v>
      </c>
    </row>
    <row r="496" spans="6:6" x14ac:dyDescent="0.25">
      <c r="F496">
        <v>532</v>
      </c>
    </row>
    <row r="497" spans="6:6" x14ac:dyDescent="0.25">
      <c r="F497">
        <v>533</v>
      </c>
    </row>
    <row r="498" spans="6:6" x14ac:dyDescent="0.25">
      <c r="F498">
        <v>534</v>
      </c>
    </row>
    <row r="499" spans="6:6" x14ac:dyDescent="0.25">
      <c r="F499">
        <v>535</v>
      </c>
    </row>
    <row r="500" spans="6:6" x14ac:dyDescent="0.25">
      <c r="F500">
        <v>536</v>
      </c>
    </row>
    <row r="501" spans="6:6" x14ac:dyDescent="0.25">
      <c r="F501">
        <v>537</v>
      </c>
    </row>
    <row r="502" spans="6:6" x14ac:dyDescent="0.25">
      <c r="F502">
        <v>538</v>
      </c>
    </row>
    <row r="503" spans="6:6" x14ac:dyDescent="0.25">
      <c r="F503">
        <v>539</v>
      </c>
    </row>
    <row r="504" spans="6:6" x14ac:dyDescent="0.25">
      <c r="F504">
        <v>540</v>
      </c>
    </row>
    <row r="505" spans="6:6" x14ac:dyDescent="0.25">
      <c r="F505">
        <v>541</v>
      </c>
    </row>
    <row r="506" spans="6:6" x14ac:dyDescent="0.25">
      <c r="F506">
        <v>542</v>
      </c>
    </row>
    <row r="507" spans="6:6" x14ac:dyDescent="0.25">
      <c r="F507">
        <v>543</v>
      </c>
    </row>
    <row r="508" spans="6:6" x14ac:dyDescent="0.25">
      <c r="F508">
        <v>544</v>
      </c>
    </row>
    <row r="509" spans="6:6" x14ac:dyDescent="0.25">
      <c r="F509">
        <v>545</v>
      </c>
    </row>
    <row r="510" spans="6:6" x14ac:dyDescent="0.25">
      <c r="F510">
        <v>546</v>
      </c>
    </row>
    <row r="511" spans="6:6" x14ac:dyDescent="0.25">
      <c r="F511">
        <v>547</v>
      </c>
    </row>
    <row r="512" spans="6:6" x14ac:dyDescent="0.25">
      <c r="F512">
        <v>548</v>
      </c>
    </row>
    <row r="513" spans="6:6" x14ac:dyDescent="0.25">
      <c r="F513">
        <v>549</v>
      </c>
    </row>
    <row r="514" spans="6:6" x14ac:dyDescent="0.25">
      <c r="F514">
        <v>550</v>
      </c>
    </row>
    <row r="515" spans="6:6" x14ac:dyDescent="0.25">
      <c r="F515">
        <v>551</v>
      </c>
    </row>
    <row r="516" spans="6:6" x14ac:dyDescent="0.25">
      <c r="F516">
        <v>552</v>
      </c>
    </row>
    <row r="517" spans="6:6" x14ac:dyDescent="0.25">
      <c r="F517">
        <v>553</v>
      </c>
    </row>
    <row r="518" spans="6:6" x14ac:dyDescent="0.25">
      <c r="F518">
        <v>554</v>
      </c>
    </row>
    <row r="519" spans="6:6" x14ac:dyDescent="0.25">
      <c r="F519">
        <v>555</v>
      </c>
    </row>
    <row r="520" spans="6:6" x14ac:dyDescent="0.25">
      <c r="F520">
        <v>556</v>
      </c>
    </row>
    <row r="521" spans="6:6" x14ac:dyDescent="0.25">
      <c r="F521">
        <v>557</v>
      </c>
    </row>
    <row r="522" spans="6:6" x14ac:dyDescent="0.25">
      <c r="F522">
        <v>558</v>
      </c>
    </row>
    <row r="523" spans="6:6" x14ac:dyDescent="0.25">
      <c r="F523">
        <v>559</v>
      </c>
    </row>
    <row r="524" spans="6:6" x14ac:dyDescent="0.25">
      <c r="F524">
        <v>560</v>
      </c>
    </row>
    <row r="525" spans="6:6" x14ac:dyDescent="0.25">
      <c r="F525">
        <v>561</v>
      </c>
    </row>
    <row r="526" spans="6:6" x14ac:dyDescent="0.25">
      <c r="F526">
        <v>562</v>
      </c>
    </row>
    <row r="527" spans="6:6" x14ac:dyDescent="0.25">
      <c r="F527">
        <v>563</v>
      </c>
    </row>
    <row r="528" spans="6:6" x14ac:dyDescent="0.25">
      <c r="F528">
        <v>564</v>
      </c>
    </row>
    <row r="529" spans="6:6" x14ac:dyDescent="0.25">
      <c r="F529">
        <v>565</v>
      </c>
    </row>
    <row r="530" spans="6:6" x14ac:dyDescent="0.25">
      <c r="F530">
        <v>566</v>
      </c>
    </row>
    <row r="531" spans="6:6" x14ac:dyDescent="0.25">
      <c r="F531">
        <v>567</v>
      </c>
    </row>
    <row r="532" spans="6:6" x14ac:dyDescent="0.25">
      <c r="F532">
        <v>568</v>
      </c>
    </row>
    <row r="533" spans="6:6" x14ac:dyDescent="0.25">
      <c r="F533">
        <v>569</v>
      </c>
    </row>
    <row r="534" spans="6:6" x14ac:dyDescent="0.25">
      <c r="F534">
        <v>570</v>
      </c>
    </row>
    <row r="535" spans="6:6" x14ac:dyDescent="0.25">
      <c r="F535">
        <v>571</v>
      </c>
    </row>
    <row r="536" spans="6:6" x14ac:dyDescent="0.25">
      <c r="F536">
        <v>572</v>
      </c>
    </row>
    <row r="537" spans="6:6" x14ac:dyDescent="0.25">
      <c r="F537">
        <v>573</v>
      </c>
    </row>
    <row r="538" spans="6:6" x14ac:dyDescent="0.25">
      <c r="F538">
        <v>574</v>
      </c>
    </row>
    <row r="539" spans="6:6" x14ac:dyDescent="0.25">
      <c r="F539">
        <v>575</v>
      </c>
    </row>
    <row r="540" spans="6:6" x14ac:dyDescent="0.25">
      <c r="F540">
        <v>576</v>
      </c>
    </row>
    <row r="541" spans="6:6" x14ac:dyDescent="0.25">
      <c r="F541">
        <v>577</v>
      </c>
    </row>
    <row r="542" spans="6:6" x14ac:dyDescent="0.25">
      <c r="F542">
        <v>578</v>
      </c>
    </row>
    <row r="543" spans="6:6" x14ac:dyDescent="0.25">
      <c r="F543">
        <v>579</v>
      </c>
    </row>
    <row r="544" spans="6:6" x14ac:dyDescent="0.25">
      <c r="F544">
        <v>580</v>
      </c>
    </row>
    <row r="545" spans="6:6" x14ac:dyDescent="0.25">
      <c r="F545">
        <v>581</v>
      </c>
    </row>
    <row r="546" spans="6:6" x14ac:dyDescent="0.25">
      <c r="F546">
        <v>582</v>
      </c>
    </row>
    <row r="547" spans="6:6" x14ac:dyDescent="0.25">
      <c r="F547">
        <v>583</v>
      </c>
    </row>
    <row r="548" spans="6:6" x14ac:dyDescent="0.25">
      <c r="F548">
        <v>584</v>
      </c>
    </row>
    <row r="549" spans="6:6" x14ac:dyDescent="0.25">
      <c r="F549">
        <v>585</v>
      </c>
    </row>
    <row r="550" spans="6:6" x14ac:dyDescent="0.25">
      <c r="F550">
        <v>586</v>
      </c>
    </row>
    <row r="551" spans="6:6" x14ac:dyDescent="0.25">
      <c r="F551">
        <v>587</v>
      </c>
    </row>
    <row r="552" spans="6:6" x14ac:dyDescent="0.25">
      <c r="F552">
        <v>588</v>
      </c>
    </row>
    <row r="553" spans="6:6" x14ac:dyDescent="0.25">
      <c r="F553">
        <v>589</v>
      </c>
    </row>
    <row r="554" spans="6:6" x14ac:dyDescent="0.25">
      <c r="F554">
        <v>590</v>
      </c>
    </row>
    <row r="555" spans="6:6" x14ac:dyDescent="0.25">
      <c r="F555">
        <v>591</v>
      </c>
    </row>
    <row r="556" spans="6:6" x14ac:dyDescent="0.25">
      <c r="F556">
        <v>592</v>
      </c>
    </row>
    <row r="557" spans="6:6" x14ac:dyDescent="0.25">
      <c r="F557">
        <v>593</v>
      </c>
    </row>
    <row r="558" spans="6:6" x14ac:dyDescent="0.25">
      <c r="F558">
        <v>594</v>
      </c>
    </row>
    <row r="559" spans="6:6" x14ac:dyDescent="0.25">
      <c r="F559">
        <v>595</v>
      </c>
    </row>
    <row r="560" spans="6:6" x14ac:dyDescent="0.25">
      <c r="F560">
        <v>596</v>
      </c>
    </row>
    <row r="561" spans="6:6" x14ac:dyDescent="0.25">
      <c r="F561">
        <v>597</v>
      </c>
    </row>
    <row r="562" spans="6:6" x14ac:dyDescent="0.25">
      <c r="F562">
        <v>598</v>
      </c>
    </row>
    <row r="563" spans="6:6" x14ac:dyDescent="0.25">
      <c r="F563">
        <v>599</v>
      </c>
    </row>
    <row r="564" spans="6:6" x14ac:dyDescent="0.25">
      <c r="F564">
        <v>600</v>
      </c>
    </row>
    <row r="565" spans="6:6" x14ac:dyDescent="0.25">
      <c r="F565">
        <v>601</v>
      </c>
    </row>
    <row r="566" spans="6:6" x14ac:dyDescent="0.25">
      <c r="F566">
        <v>602</v>
      </c>
    </row>
    <row r="567" spans="6:6" x14ac:dyDescent="0.25">
      <c r="F567">
        <v>603</v>
      </c>
    </row>
    <row r="568" spans="6:6" x14ac:dyDescent="0.25">
      <c r="F568">
        <v>604</v>
      </c>
    </row>
    <row r="569" spans="6:6" x14ac:dyDescent="0.25">
      <c r="F569">
        <v>605</v>
      </c>
    </row>
    <row r="570" spans="6:6" x14ac:dyDescent="0.25">
      <c r="F570">
        <v>606</v>
      </c>
    </row>
    <row r="571" spans="6:6" x14ac:dyDescent="0.25">
      <c r="F571">
        <v>607</v>
      </c>
    </row>
    <row r="572" spans="6:6" x14ac:dyDescent="0.25">
      <c r="F572">
        <v>608</v>
      </c>
    </row>
    <row r="573" spans="6:6" x14ac:dyDescent="0.25">
      <c r="F573">
        <v>609</v>
      </c>
    </row>
    <row r="574" spans="6:6" x14ac:dyDescent="0.25">
      <c r="F574">
        <v>610</v>
      </c>
    </row>
    <row r="575" spans="6:6" x14ac:dyDescent="0.25">
      <c r="F575">
        <v>611</v>
      </c>
    </row>
    <row r="576" spans="6:6" x14ac:dyDescent="0.25">
      <c r="F576">
        <v>612</v>
      </c>
    </row>
    <row r="577" spans="6:6" x14ac:dyDescent="0.25">
      <c r="F577">
        <v>613</v>
      </c>
    </row>
    <row r="578" spans="6:6" x14ac:dyDescent="0.25">
      <c r="F578">
        <v>614</v>
      </c>
    </row>
    <row r="579" spans="6:6" x14ac:dyDescent="0.25">
      <c r="F579">
        <v>615</v>
      </c>
    </row>
    <row r="580" spans="6:6" x14ac:dyDescent="0.25">
      <c r="F580">
        <v>616</v>
      </c>
    </row>
    <row r="581" spans="6:6" x14ac:dyDescent="0.25">
      <c r="F581">
        <v>617</v>
      </c>
    </row>
    <row r="582" spans="6:6" x14ac:dyDescent="0.25">
      <c r="F582">
        <v>618</v>
      </c>
    </row>
    <row r="583" spans="6:6" x14ac:dyDescent="0.25">
      <c r="F583">
        <v>619</v>
      </c>
    </row>
    <row r="584" spans="6:6" x14ac:dyDescent="0.25">
      <c r="F584">
        <v>620</v>
      </c>
    </row>
    <row r="585" spans="6:6" x14ac:dyDescent="0.25">
      <c r="F585">
        <v>621</v>
      </c>
    </row>
    <row r="586" spans="6:6" x14ac:dyDescent="0.25">
      <c r="F586">
        <v>622</v>
      </c>
    </row>
    <row r="587" spans="6:6" x14ac:dyDescent="0.25">
      <c r="F587">
        <v>623</v>
      </c>
    </row>
    <row r="588" spans="6:6" x14ac:dyDescent="0.25">
      <c r="F588">
        <v>624</v>
      </c>
    </row>
    <row r="589" spans="6:6" x14ac:dyDescent="0.25">
      <c r="F589">
        <v>625</v>
      </c>
    </row>
    <row r="590" spans="6:6" x14ac:dyDescent="0.25">
      <c r="F590">
        <v>626</v>
      </c>
    </row>
    <row r="591" spans="6:6" x14ac:dyDescent="0.25">
      <c r="F591">
        <v>627</v>
      </c>
    </row>
    <row r="592" spans="6:6" x14ac:dyDescent="0.25">
      <c r="F592">
        <v>628</v>
      </c>
    </row>
    <row r="593" spans="6:6" x14ac:dyDescent="0.25">
      <c r="F593">
        <v>629</v>
      </c>
    </row>
    <row r="594" spans="6:6" x14ac:dyDescent="0.25">
      <c r="F594">
        <v>630</v>
      </c>
    </row>
    <row r="595" spans="6:6" x14ac:dyDescent="0.25">
      <c r="F595">
        <v>631</v>
      </c>
    </row>
    <row r="596" spans="6:6" x14ac:dyDescent="0.25">
      <c r="F596">
        <v>632</v>
      </c>
    </row>
    <row r="597" spans="6:6" x14ac:dyDescent="0.25">
      <c r="F597">
        <v>633</v>
      </c>
    </row>
    <row r="598" spans="6:6" x14ac:dyDescent="0.25">
      <c r="F598">
        <v>634</v>
      </c>
    </row>
    <row r="599" spans="6:6" x14ac:dyDescent="0.25">
      <c r="F599">
        <v>635</v>
      </c>
    </row>
    <row r="600" spans="6:6" x14ac:dyDescent="0.25">
      <c r="F600">
        <v>636</v>
      </c>
    </row>
    <row r="601" spans="6:6" x14ac:dyDescent="0.25">
      <c r="F601">
        <v>637</v>
      </c>
    </row>
    <row r="602" spans="6:6" x14ac:dyDescent="0.25">
      <c r="F602">
        <v>638</v>
      </c>
    </row>
    <row r="603" spans="6:6" x14ac:dyDescent="0.25">
      <c r="F603">
        <v>639</v>
      </c>
    </row>
    <row r="604" spans="6:6" x14ac:dyDescent="0.25">
      <c r="F604">
        <v>640</v>
      </c>
    </row>
    <row r="605" spans="6:6" x14ac:dyDescent="0.25">
      <c r="F605">
        <v>641</v>
      </c>
    </row>
    <row r="606" spans="6:6" x14ac:dyDescent="0.25">
      <c r="F606">
        <v>642</v>
      </c>
    </row>
    <row r="607" spans="6:6" x14ac:dyDescent="0.25">
      <c r="F607">
        <v>643</v>
      </c>
    </row>
    <row r="608" spans="6:6" x14ac:dyDescent="0.25">
      <c r="F608">
        <v>644</v>
      </c>
    </row>
    <row r="609" spans="6:6" x14ac:dyDescent="0.25">
      <c r="F609">
        <v>645</v>
      </c>
    </row>
    <row r="610" spans="6:6" x14ac:dyDescent="0.25">
      <c r="F610">
        <v>646</v>
      </c>
    </row>
    <row r="611" spans="6:6" x14ac:dyDescent="0.25">
      <c r="F611">
        <v>647</v>
      </c>
    </row>
    <row r="612" spans="6:6" x14ac:dyDescent="0.25">
      <c r="F612">
        <v>648</v>
      </c>
    </row>
    <row r="613" spans="6:6" x14ac:dyDescent="0.25">
      <c r="F613">
        <v>649</v>
      </c>
    </row>
    <row r="614" spans="6:6" x14ac:dyDescent="0.25">
      <c r="F614">
        <v>650</v>
      </c>
    </row>
    <row r="615" spans="6:6" x14ac:dyDescent="0.25">
      <c r="F615">
        <v>651</v>
      </c>
    </row>
    <row r="616" spans="6:6" x14ac:dyDescent="0.25">
      <c r="F616">
        <v>652</v>
      </c>
    </row>
    <row r="617" spans="6:6" x14ac:dyDescent="0.25">
      <c r="F617">
        <v>653</v>
      </c>
    </row>
    <row r="618" spans="6:6" x14ac:dyDescent="0.25">
      <c r="F618">
        <v>654</v>
      </c>
    </row>
    <row r="619" spans="6:6" x14ac:dyDescent="0.25">
      <c r="F619">
        <v>655</v>
      </c>
    </row>
    <row r="620" spans="6:6" x14ac:dyDescent="0.25">
      <c r="F620">
        <v>656</v>
      </c>
    </row>
    <row r="621" spans="6:6" x14ac:dyDescent="0.25">
      <c r="F621">
        <v>657</v>
      </c>
    </row>
    <row r="622" spans="6:6" x14ac:dyDescent="0.25">
      <c r="F622">
        <v>658</v>
      </c>
    </row>
    <row r="623" spans="6:6" x14ac:dyDescent="0.25">
      <c r="F623">
        <v>659</v>
      </c>
    </row>
    <row r="624" spans="6:6" x14ac:dyDescent="0.25">
      <c r="F624">
        <v>660</v>
      </c>
    </row>
    <row r="625" spans="6:6" x14ac:dyDescent="0.25">
      <c r="F625">
        <v>661</v>
      </c>
    </row>
    <row r="626" spans="6:6" x14ac:dyDescent="0.25">
      <c r="F626">
        <v>662</v>
      </c>
    </row>
    <row r="627" spans="6:6" x14ac:dyDescent="0.25">
      <c r="F627">
        <v>663</v>
      </c>
    </row>
    <row r="628" spans="6:6" x14ac:dyDescent="0.25">
      <c r="F628">
        <v>664</v>
      </c>
    </row>
    <row r="629" spans="6:6" x14ac:dyDescent="0.25">
      <c r="F629">
        <v>665</v>
      </c>
    </row>
    <row r="630" spans="6:6" x14ac:dyDescent="0.25">
      <c r="F630">
        <v>666</v>
      </c>
    </row>
    <row r="631" spans="6:6" x14ac:dyDescent="0.25">
      <c r="F631">
        <v>667</v>
      </c>
    </row>
    <row r="632" spans="6:6" x14ac:dyDescent="0.25">
      <c r="F632">
        <v>668</v>
      </c>
    </row>
    <row r="633" spans="6:6" x14ac:dyDescent="0.25">
      <c r="F633">
        <v>669</v>
      </c>
    </row>
    <row r="634" spans="6:6" x14ac:dyDescent="0.25">
      <c r="F634">
        <v>670</v>
      </c>
    </row>
    <row r="635" spans="6:6" x14ac:dyDescent="0.25">
      <c r="F635">
        <v>671</v>
      </c>
    </row>
    <row r="636" spans="6:6" x14ac:dyDescent="0.25">
      <c r="F636">
        <v>672</v>
      </c>
    </row>
    <row r="637" spans="6:6" x14ac:dyDescent="0.25">
      <c r="F637">
        <v>673</v>
      </c>
    </row>
    <row r="638" spans="6:6" x14ac:dyDescent="0.25">
      <c r="F638">
        <v>674</v>
      </c>
    </row>
    <row r="639" spans="6:6" x14ac:dyDescent="0.25">
      <c r="F639">
        <v>675</v>
      </c>
    </row>
    <row r="640" spans="6:6" x14ac:dyDescent="0.25">
      <c r="F640">
        <v>676</v>
      </c>
    </row>
    <row r="641" spans="6:6" x14ac:dyDescent="0.25">
      <c r="F641">
        <v>677</v>
      </c>
    </row>
    <row r="642" spans="6:6" x14ac:dyDescent="0.25">
      <c r="F642">
        <v>678</v>
      </c>
    </row>
    <row r="643" spans="6:6" x14ac:dyDescent="0.25">
      <c r="F643">
        <v>679</v>
      </c>
    </row>
    <row r="644" spans="6:6" x14ac:dyDescent="0.25">
      <c r="F644">
        <v>680</v>
      </c>
    </row>
    <row r="645" spans="6:6" x14ac:dyDescent="0.25">
      <c r="F645">
        <v>681</v>
      </c>
    </row>
    <row r="646" spans="6:6" x14ac:dyDescent="0.25">
      <c r="F646">
        <v>682</v>
      </c>
    </row>
    <row r="647" spans="6:6" x14ac:dyDescent="0.25">
      <c r="F647">
        <v>683</v>
      </c>
    </row>
    <row r="648" spans="6:6" x14ac:dyDescent="0.25">
      <c r="F648">
        <v>684</v>
      </c>
    </row>
    <row r="649" spans="6:6" x14ac:dyDescent="0.25">
      <c r="F649">
        <v>685</v>
      </c>
    </row>
    <row r="650" spans="6:6" x14ac:dyDescent="0.25">
      <c r="F650">
        <v>686</v>
      </c>
    </row>
    <row r="651" spans="6:6" x14ac:dyDescent="0.25">
      <c r="F651">
        <v>687</v>
      </c>
    </row>
    <row r="652" spans="6:6" x14ac:dyDescent="0.25">
      <c r="F652">
        <v>688</v>
      </c>
    </row>
    <row r="653" spans="6:6" x14ac:dyDescent="0.25">
      <c r="F653">
        <v>689</v>
      </c>
    </row>
    <row r="654" spans="6:6" x14ac:dyDescent="0.25">
      <c r="F654">
        <v>690</v>
      </c>
    </row>
    <row r="655" spans="6:6" x14ac:dyDescent="0.25">
      <c r="F655">
        <v>691</v>
      </c>
    </row>
    <row r="656" spans="6:6" x14ac:dyDescent="0.25">
      <c r="F656">
        <v>692</v>
      </c>
    </row>
    <row r="657" spans="6:6" x14ac:dyDescent="0.25">
      <c r="F657">
        <v>693</v>
      </c>
    </row>
    <row r="658" spans="6:6" x14ac:dyDescent="0.25">
      <c r="F658">
        <v>694</v>
      </c>
    </row>
    <row r="659" spans="6:6" x14ac:dyDescent="0.25">
      <c r="F659">
        <v>695</v>
      </c>
    </row>
    <row r="660" spans="6:6" x14ac:dyDescent="0.25">
      <c r="F660">
        <v>696</v>
      </c>
    </row>
    <row r="661" spans="6:6" x14ac:dyDescent="0.25">
      <c r="F661">
        <v>697</v>
      </c>
    </row>
    <row r="662" spans="6:6" x14ac:dyDescent="0.25">
      <c r="F662">
        <v>698</v>
      </c>
    </row>
    <row r="663" spans="6:6" x14ac:dyDescent="0.25">
      <c r="F663">
        <v>699</v>
      </c>
    </row>
    <row r="664" spans="6:6" x14ac:dyDescent="0.25">
      <c r="F664">
        <v>700</v>
      </c>
    </row>
    <row r="665" spans="6:6" x14ac:dyDescent="0.25">
      <c r="F665">
        <v>701</v>
      </c>
    </row>
    <row r="666" spans="6:6" x14ac:dyDescent="0.25">
      <c r="F666">
        <v>702</v>
      </c>
    </row>
    <row r="667" spans="6:6" x14ac:dyDescent="0.25">
      <c r="F667">
        <v>703</v>
      </c>
    </row>
    <row r="668" spans="6:6" x14ac:dyDescent="0.25">
      <c r="F668">
        <v>704</v>
      </c>
    </row>
    <row r="669" spans="6:6" x14ac:dyDescent="0.25">
      <c r="F669">
        <v>705</v>
      </c>
    </row>
    <row r="670" spans="6:6" x14ac:dyDescent="0.25">
      <c r="F670">
        <v>706</v>
      </c>
    </row>
    <row r="671" spans="6:6" x14ac:dyDescent="0.25">
      <c r="F671">
        <v>707</v>
      </c>
    </row>
    <row r="672" spans="6:6" x14ac:dyDescent="0.25">
      <c r="F672">
        <v>708</v>
      </c>
    </row>
    <row r="673" spans="6:6" x14ac:dyDescent="0.25">
      <c r="F673">
        <v>709</v>
      </c>
    </row>
    <row r="674" spans="6:6" x14ac:dyDescent="0.25">
      <c r="F674">
        <v>710</v>
      </c>
    </row>
    <row r="675" spans="6:6" x14ac:dyDescent="0.25">
      <c r="F675">
        <v>711</v>
      </c>
    </row>
    <row r="676" spans="6:6" x14ac:dyDescent="0.25">
      <c r="F676">
        <v>712</v>
      </c>
    </row>
    <row r="677" spans="6:6" x14ac:dyDescent="0.25">
      <c r="F677">
        <v>713</v>
      </c>
    </row>
    <row r="678" spans="6:6" x14ac:dyDescent="0.25">
      <c r="F678">
        <v>714</v>
      </c>
    </row>
    <row r="679" spans="6:6" x14ac:dyDescent="0.25">
      <c r="F679">
        <v>715</v>
      </c>
    </row>
    <row r="680" spans="6:6" x14ac:dyDescent="0.25">
      <c r="F680">
        <v>716</v>
      </c>
    </row>
    <row r="681" spans="6:6" x14ac:dyDescent="0.25">
      <c r="F681">
        <v>717</v>
      </c>
    </row>
    <row r="682" spans="6:6" x14ac:dyDescent="0.25">
      <c r="F682">
        <v>718</v>
      </c>
    </row>
    <row r="683" spans="6:6" x14ac:dyDescent="0.25">
      <c r="F683">
        <v>719</v>
      </c>
    </row>
    <row r="684" spans="6:6" x14ac:dyDescent="0.25">
      <c r="F684">
        <v>720</v>
      </c>
    </row>
    <row r="685" spans="6:6" x14ac:dyDescent="0.25">
      <c r="F685">
        <v>721</v>
      </c>
    </row>
    <row r="686" spans="6:6" x14ac:dyDescent="0.25">
      <c r="F686">
        <v>722</v>
      </c>
    </row>
    <row r="687" spans="6:6" x14ac:dyDescent="0.25">
      <c r="F687">
        <v>723</v>
      </c>
    </row>
    <row r="688" spans="6:6" x14ac:dyDescent="0.25">
      <c r="F688">
        <v>724</v>
      </c>
    </row>
    <row r="689" spans="6:6" x14ac:dyDescent="0.25">
      <c r="F689">
        <v>725</v>
      </c>
    </row>
    <row r="690" spans="6:6" x14ac:dyDescent="0.25">
      <c r="F690">
        <v>726</v>
      </c>
    </row>
    <row r="691" spans="6:6" x14ac:dyDescent="0.25">
      <c r="F691">
        <v>727</v>
      </c>
    </row>
    <row r="692" spans="6:6" x14ac:dyDescent="0.25">
      <c r="F692">
        <v>728</v>
      </c>
    </row>
    <row r="693" spans="6:6" x14ac:dyDescent="0.25">
      <c r="F693">
        <v>729</v>
      </c>
    </row>
    <row r="694" spans="6:6" x14ac:dyDescent="0.25">
      <c r="F694">
        <v>730</v>
      </c>
    </row>
    <row r="695" spans="6:6" x14ac:dyDescent="0.25">
      <c r="F695">
        <v>731</v>
      </c>
    </row>
    <row r="696" spans="6:6" x14ac:dyDescent="0.25">
      <c r="F696">
        <v>732</v>
      </c>
    </row>
    <row r="697" spans="6:6" x14ac:dyDescent="0.25">
      <c r="F697">
        <v>733</v>
      </c>
    </row>
    <row r="698" spans="6:6" x14ac:dyDescent="0.25">
      <c r="F698">
        <v>734</v>
      </c>
    </row>
    <row r="699" spans="6:6" x14ac:dyDescent="0.25">
      <c r="F699">
        <v>735</v>
      </c>
    </row>
    <row r="700" spans="6:6" x14ac:dyDescent="0.25">
      <c r="F700">
        <v>736</v>
      </c>
    </row>
    <row r="701" spans="6:6" x14ac:dyDescent="0.25">
      <c r="F701">
        <v>737</v>
      </c>
    </row>
    <row r="702" spans="6:6" x14ac:dyDescent="0.25">
      <c r="F702">
        <v>738</v>
      </c>
    </row>
    <row r="703" spans="6:6" x14ac:dyDescent="0.25">
      <c r="F703">
        <v>739</v>
      </c>
    </row>
    <row r="704" spans="6:6" x14ac:dyDescent="0.25">
      <c r="F704">
        <v>740</v>
      </c>
    </row>
    <row r="705" spans="6:6" x14ac:dyDescent="0.25">
      <c r="F705">
        <v>741</v>
      </c>
    </row>
    <row r="706" spans="6:6" x14ac:dyDescent="0.25">
      <c r="F706">
        <v>742</v>
      </c>
    </row>
    <row r="707" spans="6:6" x14ac:dyDescent="0.25">
      <c r="F707">
        <v>743</v>
      </c>
    </row>
    <row r="708" spans="6:6" x14ac:dyDescent="0.25">
      <c r="F708">
        <v>744</v>
      </c>
    </row>
    <row r="709" spans="6:6" x14ac:dyDescent="0.25">
      <c r="F709">
        <v>745</v>
      </c>
    </row>
    <row r="710" spans="6:6" x14ac:dyDescent="0.25">
      <c r="F710">
        <v>746</v>
      </c>
    </row>
    <row r="711" spans="6:6" x14ac:dyDescent="0.25">
      <c r="F711">
        <v>747</v>
      </c>
    </row>
    <row r="712" spans="6:6" x14ac:dyDescent="0.25">
      <c r="F712">
        <v>748</v>
      </c>
    </row>
    <row r="713" spans="6:6" x14ac:dyDescent="0.25">
      <c r="F713">
        <v>749</v>
      </c>
    </row>
    <row r="714" spans="6:6" x14ac:dyDescent="0.25">
      <c r="F714">
        <v>750</v>
      </c>
    </row>
    <row r="715" spans="6:6" x14ac:dyDescent="0.25">
      <c r="F715">
        <v>751</v>
      </c>
    </row>
    <row r="716" spans="6:6" x14ac:dyDescent="0.25">
      <c r="F716">
        <v>752</v>
      </c>
    </row>
    <row r="717" spans="6:6" x14ac:dyDescent="0.25">
      <c r="F717">
        <v>753</v>
      </c>
    </row>
    <row r="718" spans="6:6" x14ac:dyDescent="0.25">
      <c r="F718">
        <v>754</v>
      </c>
    </row>
    <row r="719" spans="6:6" x14ac:dyDescent="0.25">
      <c r="F719">
        <v>755</v>
      </c>
    </row>
    <row r="720" spans="6:6" x14ac:dyDescent="0.25">
      <c r="F720">
        <v>756</v>
      </c>
    </row>
    <row r="721" spans="6:6" x14ac:dyDescent="0.25">
      <c r="F721">
        <v>757</v>
      </c>
    </row>
    <row r="722" spans="6:6" x14ac:dyDescent="0.25">
      <c r="F722">
        <v>758</v>
      </c>
    </row>
    <row r="723" spans="6:6" x14ac:dyDescent="0.25">
      <c r="F723">
        <v>759</v>
      </c>
    </row>
    <row r="724" spans="6:6" x14ac:dyDescent="0.25">
      <c r="F724">
        <v>760</v>
      </c>
    </row>
    <row r="725" spans="6:6" x14ac:dyDescent="0.25">
      <c r="F725">
        <v>761</v>
      </c>
    </row>
    <row r="726" spans="6:6" x14ac:dyDescent="0.25">
      <c r="F726">
        <v>762</v>
      </c>
    </row>
    <row r="727" spans="6:6" x14ac:dyDescent="0.25">
      <c r="F727">
        <v>763</v>
      </c>
    </row>
    <row r="728" spans="6:6" x14ac:dyDescent="0.25">
      <c r="F728">
        <v>764</v>
      </c>
    </row>
    <row r="729" spans="6:6" x14ac:dyDescent="0.25">
      <c r="F729">
        <v>765</v>
      </c>
    </row>
    <row r="730" spans="6:6" x14ac:dyDescent="0.25">
      <c r="F730">
        <v>766</v>
      </c>
    </row>
    <row r="731" spans="6:6" x14ac:dyDescent="0.25">
      <c r="F731">
        <v>767</v>
      </c>
    </row>
    <row r="732" spans="6:6" x14ac:dyDescent="0.25">
      <c r="F732">
        <v>768</v>
      </c>
    </row>
    <row r="733" spans="6:6" x14ac:dyDescent="0.25">
      <c r="F733">
        <v>769</v>
      </c>
    </row>
    <row r="734" spans="6:6" x14ac:dyDescent="0.25">
      <c r="F734">
        <v>770</v>
      </c>
    </row>
    <row r="735" spans="6:6" x14ac:dyDescent="0.25">
      <c r="F735">
        <v>771</v>
      </c>
    </row>
    <row r="736" spans="6:6" x14ac:dyDescent="0.25">
      <c r="F736">
        <v>772</v>
      </c>
    </row>
    <row r="737" spans="6:6" x14ac:dyDescent="0.25">
      <c r="F737">
        <v>773</v>
      </c>
    </row>
    <row r="738" spans="6:6" x14ac:dyDescent="0.25">
      <c r="F738">
        <v>774</v>
      </c>
    </row>
    <row r="739" spans="6:6" x14ac:dyDescent="0.25">
      <c r="F739">
        <v>775</v>
      </c>
    </row>
    <row r="740" spans="6:6" x14ac:dyDescent="0.25">
      <c r="F740">
        <v>776</v>
      </c>
    </row>
    <row r="741" spans="6:6" x14ac:dyDescent="0.25">
      <c r="F741">
        <v>777</v>
      </c>
    </row>
    <row r="742" spans="6:6" x14ac:dyDescent="0.25">
      <c r="F742">
        <v>778</v>
      </c>
    </row>
    <row r="743" spans="6:6" x14ac:dyDescent="0.25">
      <c r="F743">
        <v>779</v>
      </c>
    </row>
    <row r="744" spans="6:6" x14ac:dyDescent="0.25">
      <c r="F744">
        <v>780</v>
      </c>
    </row>
    <row r="745" spans="6:6" x14ac:dyDescent="0.25">
      <c r="F745">
        <v>781</v>
      </c>
    </row>
    <row r="746" spans="6:6" x14ac:dyDescent="0.25">
      <c r="F746">
        <v>782</v>
      </c>
    </row>
    <row r="747" spans="6:6" x14ac:dyDescent="0.25">
      <c r="F747">
        <v>783</v>
      </c>
    </row>
    <row r="748" spans="6:6" x14ac:dyDescent="0.25">
      <c r="F748">
        <v>784</v>
      </c>
    </row>
    <row r="749" spans="6:6" x14ac:dyDescent="0.25">
      <c r="F749">
        <v>785</v>
      </c>
    </row>
    <row r="750" spans="6:6" x14ac:dyDescent="0.25">
      <c r="F750">
        <v>786</v>
      </c>
    </row>
    <row r="751" spans="6:6" x14ac:dyDescent="0.25">
      <c r="F751">
        <v>787</v>
      </c>
    </row>
    <row r="752" spans="6:6" x14ac:dyDescent="0.25">
      <c r="F752">
        <v>788</v>
      </c>
    </row>
    <row r="753" spans="6:6" x14ac:dyDescent="0.25">
      <c r="F753">
        <v>789</v>
      </c>
    </row>
    <row r="754" spans="6:6" x14ac:dyDescent="0.25">
      <c r="F754">
        <v>790</v>
      </c>
    </row>
    <row r="755" spans="6:6" x14ac:dyDescent="0.25">
      <c r="F755">
        <v>791</v>
      </c>
    </row>
    <row r="756" spans="6:6" x14ac:dyDescent="0.25">
      <c r="F756">
        <v>792</v>
      </c>
    </row>
    <row r="757" spans="6:6" x14ac:dyDescent="0.25">
      <c r="F757">
        <v>793</v>
      </c>
    </row>
    <row r="758" spans="6:6" x14ac:dyDescent="0.25">
      <c r="F758">
        <v>794</v>
      </c>
    </row>
    <row r="759" spans="6:6" x14ac:dyDescent="0.25">
      <c r="F759">
        <v>795</v>
      </c>
    </row>
    <row r="760" spans="6:6" x14ac:dyDescent="0.25">
      <c r="F760">
        <v>796</v>
      </c>
    </row>
    <row r="761" spans="6:6" x14ac:dyDescent="0.25">
      <c r="F761">
        <v>797</v>
      </c>
    </row>
    <row r="762" spans="6:6" x14ac:dyDescent="0.25">
      <c r="F762">
        <v>798</v>
      </c>
    </row>
    <row r="763" spans="6:6" x14ac:dyDescent="0.25">
      <c r="F763">
        <v>799</v>
      </c>
    </row>
    <row r="764" spans="6:6" x14ac:dyDescent="0.25">
      <c r="F764">
        <v>800</v>
      </c>
    </row>
    <row r="765" spans="6:6" x14ac:dyDescent="0.25">
      <c r="F765">
        <v>801</v>
      </c>
    </row>
    <row r="766" spans="6:6" x14ac:dyDescent="0.25">
      <c r="F766">
        <v>802</v>
      </c>
    </row>
    <row r="767" spans="6:6" x14ac:dyDescent="0.25">
      <c r="F767">
        <v>803</v>
      </c>
    </row>
    <row r="768" spans="6:6" x14ac:dyDescent="0.25">
      <c r="F768">
        <v>804</v>
      </c>
    </row>
    <row r="769" spans="6:6" x14ac:dyDescent="0.25">
      <c r="F769">
        <v>805</v>
      </c>
    </row>
    <row r="770" spans="6:6" x14ac:dyDescent="0.25">
      <c r="F770">
        <v>806</v>
      </c>
    </row>
    <row r="771" spans="6:6" x14ac:dyDescent="0.25">
      <c r="F771">
        <v>807</v>
      </c>
    </row>
    <row r="772" spans="6:6" x14ac:dyDescent="0.25">
      <c r="F772">
        <v>808</v>
      </c>
    </row>
    <row r="773" spans="6:6" x14ac:dyDescent="0.25">
      <c r="F773">
        <v>809</v>
      </c>
    </row>
    <row r="774" spans="6:6" x14ac:dyDescent="0.25">
      <c r="F774">
        <v>810</v>
      </c>
    </row>
    <row r="775" spans="6:6" x14ac:dyDescent="0.25">
      <c r="F775">
        <v>811</v>
      </c>
    </row>
    <row r="776" spans="6:6" x14ac:dyDescent="0.25">
      <c r="F776">
        <v>812</v>
      </c>
    </row>
    <row r="777" spans="6:6" x14ac:dyDescent="0.25">
      <c r="F777">
        <v>813</v>
      </c>
    </row>
    <row r="778" spans="6:6" x14ac:dyDescent="0.25">
      <c r="F778">
        <v>814</v>
      </c>
    </row>
    <row r="779" spans="6:6" x14ac:dyDescent="0.25">
      <c r="F779">
        <v>815</v>
      </c>
    </row>
    <row r="780" spans="6:6" x14ac:dyDescent="0.25">
      <c r="F780">
        <v>816</v>
      </c>
    </row>
    <row r="781" spans="6:6" x14ac:dyDescent="0.25">
      <c r="F781">
        <v>817</v>
      </c>
    </row>
    <row r="782" spans="6:6" x14ac:dyDescent="0.25">
      <c r="F782">
        <v>818</v>
      </c>
    </row>
    <row r="783" spans="6:6" x14ac:dyDescent="0.25">
      <c r="F783">
        <v>819</v>
      </c>
    </row>
    <row r="784" spans="6:6" x14ac:dyDescent="0.25">
      <c r="F784">
        <v>820</v>
      </c>
    </row>
    <row r="785" spans="6:6" x14ac:dyDescent="0.25">
      <c r="F785">
        <v>821</v>
      </c>
    </row>
    <row r="786" spans="6:6" x14ac:dyDescent="0.25">
      <c r="F786">
        <v>822</v>
      </c>
    </row>
    <row r="787" spans="6:6" x14ac:dyDescent="0.25">
      <c r="F787">
        <v>823</v>
      </c>
    </row>
    <row r="788" spans="6:6" x14ac:dyDescent="0.25">
      <c r="F788">
        <v>824</v>
      </c>
    </row>
    <row r="789" spans="6:6" x14ac:dyDescent="0.25">
      <c r="F789">
        <v>825</v>
      </c>
    </row>
    <row r="790" spans="6:6" x14ac:dyDescent="0.25">
      <c r="F790">
        <v>826</v>
      </c>
    </row>
    <row r="791" spans="6:6" x14ac:dyDescent="0.25">
      <c r="F791">
        <v>827</v>
      </c>
    </row>
    <row r="792" spans="6:6" x14ac:dyDescent="0.25">
      <c r="F792">
        <v>828</v>
      </c>
    </row>
    <row r="793" spans="6:6" x14ac:dyDescent="0.25">
      <c r="F793">
        <v>829</v>
      </c>
    </row>
    <row r="794" spans="6:6" x14ac:dyDescent="0.25">
      <c r="F794">
        <v>830</v>
      </c>
    </row>
    <row r="795" spans="6:6" x14ac:dyDescent="0.25">
      <c r="F795">
        <v>831</v>
      </c>
    </row>
    <row r="796" spans="6:6" x14ac:dyDescent="0.25">
      <c r="F796">
        <v>832</v>
      </c>
    </row>
    <row r="797" spans="6:6" x14ac:dyDescent="0.25">
      <c r="F797">
        <v>833</v>
      </c>
    </row>
    <row r="798" spans="6:6" x14ac:dyDescent="0.25">
      <c r="F798">
        <v>834</v>
      </c>
    </row>
    <row r="799" spans="6:6" x14ac:dyDescent="0.25">
      <c r="F799">
        <v>835</v>
      </c>
    </row>
    <row r="800" spans="6:6" x14ac:dyDescent="0.25">
      <c r="F800">
        <v>836</v>
      </c>
    </row>
    <row r="801" spans="6:6" x14ac:dyDescent="0.25">
      <c r="F801">
        <v>837</v>
      </c>
    </row>
    <row r="802" spans="6:6" x14ac:dyDescent="0.25">
      <c r="F802">
        <v>838</v>
      </c>
    </row>
    <row r="803" spans="6:6" x14ac:dyDescent="0.25">
      <c r="F803">
        <v>839</v>
      </c>
    </row>
    <row r="804" spans="6:6" x14ac:dyDescent="0.25">
      <c r="F804">
        <v>840</v>
      </c>
    </row>
    <row r="805" spans="6:6" x14ac:dyDescent="0.25">
      <c r="F805">
        <v>841</v>
      </c>
    </row>
    <row r="806" spans="6:6" x14ac:dyDescent="0.25">
      <c r="F806">
        <v>842</v>
      </c>
    </row>
    <row r="807" spans="6:6" x14ac:dyDescent="0.25">
      <c r="F807">
        <v>843</v>
      </c>
    </row>
    <row r="808" spans="6:6" x14ac:dyDescent="0.25">
      <c r="F808">
        <v>844</v>
      </c>
    </row>
    <row r="809" spans="6:6" x14ac:dyDescent="0.25">
      <c r="F809">
        <v>845</v>
      </c>
    </row>
    <row r="810" spans="6:6" x14ac:dyDescent="0.25">
      <c r="F810">
        <v>846</v>
      </c>
    </row>
    <row r="811" spans="6:6" x14ac:dyDescent="0.25">
      <c r="F811">
        <v>847</v>
      </c>
    </row>
    <row r="812" spans="6:6" x14ac:dyDescent="0.25">
      <c r="F812">
        <v>848</v>
      </c>
    </row>
    <row r="813" spans="6:6" x14ac:dyDescent="0.25">
      <c r="F813">
        <v>849</v>
      </c>
    </row>
    <row r="814" spans="6:6" x14ac:dyDescent="0.25">
      <c r="F814">
        <v>850</v>
      </c>
    </row>
    <row r="815" spans="6:6" x14ac:dyDescent="0.25">
      <c r="F815">
        <v>851</v>
      </c>
    </row>
    <row r="816" spans="6:6" x14ac:dyDescent="0.25">
      <c r="F816">
        <v>852</v>
      </c>
    </row>
    <row r="817" spans="6:6" x14ac:dyDescent="0.25">
      <c r="F817">
        <v>853</v>
      </c>
    </row>
    <row r="818" spans="6:6" x14ac:dyDescent="0.25">
      <c r="F818">
        <v>854</v>
      </c>
    </row>
    <row r="819" spans="6:6" x14ac:dyDescent="0.25">
      <c r="F819">
        <v>855</v>
      </c>
    </row>
    <row r="820" spans="6:6" x14ac:dyDescent="0.25">
      <c r="F820">
        <v>856</v>
      </c>
    </row>
    <row r="821" spans="6:6" x14ac:dyDescent="0.25">
      <c r="F821">
        <v>857</v>
      </c>
    </row>
    <row r="822" spans="6:6" x14ac:dyDescent="0.25">
      <c r="F822">
        <v>858</v>
      </c>
    </row>
    <row r="823" spans="6:6" x14ac:dyDescent="0.25">
      <c r="F823">
        <v>859</v>
      </c>
    </row>
    <row r="824" spans="6:6" x14ac:dyDescent="0.25">
      <c r="F824">
        <v>860</v>
      </c>
    </row>
    <row r="825" spans="6:6" x14ac:dyDescent="0.25">
      <c r="F825">
        <v>861</v>
      </c>
    </row>
    <row r="826" spans="6:6" x14ac:dyDescent="0.25">
      <c r="F826">
        <v>862</v>
      </c>
    </row>
    <row r="827" spans="6:6" x14ac:dyDescent="0.25">
      <c r="F827">
        <v>863</v>
      </c>
    </row>
    <row r="828" spans="6:6" x14ac:dyDescent="0.25">
      <c r="F828">
        <v>864</v>
      </c>
    </row>
    <row r="829" spans="6:6" x14ac:dyDescent="0.25">
      <c r="F829">
        <v>865</v>
      </c>
    </row>
    <row r="830" spans="6:6" x14ac:dyDescent="0.25">
      <c r="F830">
        <v>866</v>
      </c>
    </row>
    <row r="831" spans="6:6" x14ac:dyDescent="0.25">
      <c r="F831">
        <v>867</v>
      </c>
    </row>
    <row r="832" spans="6:6" x14ac:dyDescent="0.25">
      <c r="F832">
        <v>868</v>
      </c>
    </row>
    <row r="833" spans="6:6" x14ac:dyDescent="0.25">
      <c r="F833">
        <v>869</v>
      </c>
    </row>
    <row r="834" spans="6:6" x14ac:dyDescent="0.25">
      <c r="F834">
        <v>870</v>
      </c>
    </row>
    <row r="835" spans="6:6" x14ac:dyDescent="0.25">
      <c r="F835">
        <v>871</v>
      </c>
    </row>
    <row r="836" spans="6:6" x14ac:dyDescent="0.25">
      <c r="F836">
        <v>872</v>
      </c>
    </row>
    <row r="837" spans="6:6" x14ac:dyDescent="0.25">
      <c r="F837">
        <v>873</v>
      </c>
    </row>
    <row r="838" spans="6:6" x14ac:dyDescent="0.25">
      <c r="F838">
        <v>874</v>
      </c>
    </row>
    <row r="839" spans="6:6" x14ac:dyDescent="0.25">
      <c r="F839">
        <v>875</v>
      </c>
    </row>
    <row r="840" spans="6:6" x14ac:dyDescent="0.25">
      <c r="F840">
        <v>876</v>
      </c>
    </row>
    <row r="841" spans="6:6" x14ac:dyDescent="0.25">
      <c r="F841">
        <v>877</v>
      </c>
    </row>
    <row r="842" spans="6:6" x14ac:dyDescent="0.25">
      <c r="F842">
        <v>878</v>
      </c>
    </row>
    <row r="843" spans="6:6" x14ac:dyDescent="0.25">
      <c r="F843">
        <v>879</v>
      </c>
    </row>
    <row r="844" spans="6:6" x14ac:dyDescent="0.25">
      <c r="F844">
        <v>880</v>
      </c>
    </row>
    <row r="845" spans="6:6" x14ac:dyDescent="0.25">
      <c r="F845">
        <v>881</v>
      </c>
    </row>
    <row r="846" spans="6:6" x14ac:dyDescent="0.25">
      <c r="F846">
        <v>882</v>
      </c>
    </row>
    <row r="847" spans="6:6" x14ac:dyDescent="0.25">
      <c r="F847">
        <v>883</v>
      </c>
    </row>
    <row r="848" spans="6:6" x14ac:dyDescent="0.25">
      <c r="F848">
        <v>884</v>
      </c>
    </row>
    <row r="849" spans="6:6" x14ac:dyDescent="0.25">
      <c r="F849">
        <v>885</v>
      </c>
    </row>
    <row r="850" spans="6:6" x14ac:dyDescent="0.25">
      <c r="F850">
        <v>886</v>
      </c>
    </row>
    <row r="851" spans="6:6" x14ac:dyDescent="0.25">
      <c r="F851">
        <v>887</v>
      </c>
    </row>
    <row r="852" spans="6:6" x14ac:dyDescent="0.25">
      <c r="F852">
        <v>888</v>
      </c>
    </row>
    <row r="853" spans="6:6" x14ac:dyDescent="0.25">
      <c r="F853">
        <v>889</v>
      </c>
    </row>
    <row r="854" spans="6:6" x14ac:dyDescent="0.25">
      <c r="F854">
        <v>890</v>
      </c>
    </row>
    <row r="855" spans="6:6" x14ac:dyDescent="0.25">
      <c r="F855">
        <v>891</v>
      </c>
    </row>
    <row r="856" spans="6:6" x14ac:dyDescent="0.25">
      <c r="F856">
        <v>892</v>
      </c>
    </row>
    <row r="857" spans="6:6" x14ac:dyDescent="0.25">
      <c r="F857">
        <v>893</v>
      </c>
    </row>
    <row r="858" spans="6:6" x14ac:dyDescent="0.25">
      <c r="F858">
        <v>894</v>
      </c>
    </row>
    <row r="859" spans="6:6" x14ac:dyDescent="0.25">
      <c r="F859">
        <v>895</v>
      </c>
    </row>
    <row r="860" spans="6:6" x14ac:dyDescent="0.25">
      <c r="F860">
        <v>896</v>
      </c>
    </row>
    <row r="861" spans="6:6" x14ac:dyDescent="0.25">
      <c r="F861">
        <v>897</v>
      </c>
    </row>
    <row r="862" spans="6:6" x14ac:dyDescent="0.25">
      <c r="F862">
        <v>898</v>
      </c>
    </row>
    <row r="863" spans="6:6" x14ac:dyDescent="0.25">
      <c r="F863">
        <v>899</v>
      </c>
    </row>
    <row r="864" spans="6:6" x14ac:dyDescent="0.25">
      <c r="F864">
        <v>900</v>
      </c>
    </row>
    <row r="865" spans="6:6" x14ac:dyDescent="0.25">
      <c r="F865">
        <v>901</v>
      </c>
    </row>
    <row r="866" spans="6:6" x14ac:dyDescent="0.25">
      <c r="F866">
        <v>902</v>
      </c>
    </row>
    <row r="867" spans="6:6" x14ac:dyDescent="0.25">
      <c r="F867">
        <v>903</v>
      </c>
    </row>
    <row r="868" spans="6:6" x14ac:dyDescent="0.25">
      <c r="F868">
        <v>904</v>
      </c>
    </row>
    <row r="869" spans="6:6" x14ac:dyDescent="0.25">
      <c r="F869">
        <v>905</v>
      </c>
    </row>
    <row r="870" spans="6:6" x14ac:dyDescent="0.25">
      <c r="F870">
        <v>906</v>
      </c>
    </row>
    <row r="871" spans="6:6" x14ac:dyDescent="0.25">
      <c r="F871">
        <v>907</v>
      </c>
    </row>
    <row r="872" spans="6:6" x14ac:dyDescent="0.25">
      <c r="F872">
        <v>908</v>
      </c>
    </row>
    <row r="873" spans="6:6" x14ac:dyDescent="0.25">
      <c r="F873">
        <v>909</v>
      </c>
    </row>
    <row r="874" spans="6:6" x14ac:dyDescent="0.25">
      <c r="F874">
        <v>910</v>
      </c>
    </row>
    <row r="875" spans="6:6" x14ac:dyDescent="0.25">
      <c r="F875">
        <v>911</v>
      </c>
    </row>
    <row r="876" spans="6:6" x14ac:dyDescent="0.25">
      <c r="F876">
        <v>912</v>
      </c>
    </row>
    <row r="877" spans="6:6" x14ac:dyDescent="0.25">
      <c r="F877">
        <v>913</v>
      </c>
    </row>
    <row r="878" spans="6:6" x14ac:dyDescent="0.25">
      <c r="F878">
        <v>914</v>
      </c>
    </row>
    <row r="879" spans="6:6" x14ac:dyDescent="0.25">
      <c r="F879">
        <v>915</v>
      </c>
    </row>
    <row r="880" spans="6:6" x14ac:dyDescent="0.25">
      <c r="F880">
        <v>916</v>
      </c>
    </row>
    <row r="881" spans="6:6" x14ac:dyDescent="0.25">
      <c r="F881">
        <v>917</v>
      </c>
    </row>
    <row r="882" spans="6:6" x14ac:dyDescent="0.25">
      <c r="F882">
        <v>918</v>
      </c>
    </row>
    <row r="883" spans="6:6" x14ac:dyDescent="0.25">
      <c r="F883">
        <v>919</v>
      </c>
    </row>
    <row r="884" spans="6:6" x14ac:dyDescent="0.25">
      <c r="F884">
        <v>920</v>
      </c>
    </row>
    <row r="885" spans="6:6" x14ac:dyDescent="0.25">
      <c r="F885">
        <v>921</v>
      </c>
    </row>
    <row r="886" spans="6:6" x14ac:dyDescent="0.25">
      <c r="F886">
        <v>922</v>
      </c>
    </row>
    <row r="887" spans="6:6" x14ac:dyDescent="0.25">
      <c r="F887">
        <v>923</v>
      </c>
    </row>
    <row r="888" spans="6:6" x14ac:dyDescent="0.25">
      <c r="F888">
        <v>924</v>
      </c>
    </row>
    <row r="889" spans="6:6" x14ac:dyDescent="0.25">
      <c r="F889">
        <v>925</v>
      </c>
    </row>
    <row r="890" spans="6:6" x14ac:dyDescent="0.25">
      <c r="F890">
        <v>926</v>
      </c>
    </row>
    <row r="891" spans="6:6" x14ac:dyDescent="0.25">
      <c r="F891">
        <v>927</v>
      </c>
    </row>
    <row r="892" spans="6:6" x14ac:dyDescent="0.25">
      <c r="F892">
        <v>928</v>
      </c>
    </row>
    <row r="893" spans="6:6" x14ac:dyDescent="0.25">
      <c r="F893">
        <v>929</v>
      </c>
    </row>
    <row r="894" spans="6:6" x14ac:dyDescent="0.25">
      <c r="F894">
        <v>930</v>
      </c>
    </row>
    <row r="895" spans="6:6" x14ac:dyDescent="0.25">
      <c r="F895">
        <v>931</v>
      </c>
    </row>
    <row r="896" spans="6:6" x14ac:dyDescent="0.25">
      <c r="F896">
        <v>932</v>
      </c>
    </row>
    <row r="897" spans="6:6" x14ac:dyDescent="0.25">
      <c r="F897">
        <v>933</v>
      </c>
    </row>
    <row r="898" spans="6:6" x14ac:dyDescent="0.25">
      <c r="F898">
        <v>934</v>
      </c>
    </row>
    <row r="899" spans="6:6" x14ac:dyDescent="0.25">
      <c r="F899">
        <v>935</v>
      </c>
    </row>
    <row r="900" spans="6:6" x14ac:dyDescent="0.25">
      <c r="F900">
        <v>936</v>
      </c>
    </row>
    <row r="901" spans="6:6" x14ac:dyDescent="0.25">
      <c r="F901">
        <v>937</v>
      </c>
    </row>
    <row r="902" spans="6:6" x14ac:dyDescent="0.25">
      <c r="F902">
        <v>938</v>
      </c>
    </row>
    <row r="903" spans="6:6" x14ac:dyDescent="0.25">
      <c r="F903">
        <v>939</v>
      </c>
    </row>
    <row r="904" spans="6:6" x14ac:dyDescent="0.25">
      <c r="F904">
        <v>940</v>
      </c>
    </row>
    <row r="905" spans="6:6" x14ac:dyDescent="0.25">
      <c r="F905">
        <v>941</v>
      </c>
    </row>
    <row r="906" spans="6:6" x14ac:dyDescent="0.25">
      <c r="F906">
        <v>942</v>
      </c>
    </row>
    <row r="907" spans="6:6" x14ac:dyDescent="0.25">
      <c r="F907">
        <v>943</v>
      </c>
    </row>
    <row r="908" spans="6:6" x14ac:dyDescent="0.25">
      <c r="F908">
        <v>944</v>
      </c>
    </row>
    <row r="909" spans="6:6" x14ac:dyDescent="0.25">
      <c r="F909">
        <v>945</v>
      </c>
    </row>
    <row r="910" spans="6:6" x14ac:dyDescent="0.25">
      <c r="F910">
        <v>946</v>
      </c>
    </row>
    <row r="911" spans="6:6" x14ac:dyDescent="0.25">
      <c r="F911">
        <v>947</v>
      </c>
    </row>
    <row r="912" spans="6:6" x14ac:dyDescent="0.25">
      <c r="F912">
        <v>948</v>
      </c>
    </row>
    <row r="913" spans="6:6" x14ac:dyDescent="0.25">
      <c r="F913">
        <v>949</v>
      </c>
    </row>
    <row r="914" spans="6:6" x14ac:dyDescent="0.25">
      <c r="F914">
        <v>950</v>
      </c>
    </row>
    <row r="915" spans="6:6" x14ac:dyDescent="0.25">
      <c r="F915">
        <v>951</v>
      </c>
    </row>
    <row r="916" spans="6:6" x14ac:dyDescent="0.25">
      <c r="F916">
        <v>952</v>
      </c>
    </row>
    <row r="917" spans="6:6" x14ac:dyDescent="0.25">
      <c r="F917">
        <v>953</v>
      </c>
    </row>
    <row r="918" spans="6:6" x14ac:dyDescent="0.25">
      <c r="F918">
        <v>954</v>
      </c>
    </row>
    <row r="919" spans="6:6" x14ac:dyDescent="0.25">
      <c r="F919">
        <v>955</v>
      </c>
    </row>
    <row r="920" spans="6:6" x14ac:dyDescent="0.25">
      <c r="F920">
        <v>956</v>
      </c>
    </row>
    <row r="921" spans="6:6" x14ac:dyDescent="0.25">
      <c r="F921">
        <v>957</v>
      </c>
    </row>
    <row r="922" spans="6:6" x14ac:dyDescent="0.25">
      <c r="F922">
        <v>958</v>
      </c>
    </row>
    <row r="923" spans="6:6" x14ac:dyDescent="0.25">
      <c r="F923">
        <v>959</v>
      </c>
    </row>
    <row r="924" spans="6:6" x14ac:dyDescent="0.25">
      <c r="F924">
        <v>960</v>
      </c>
    </row>
    <row r="925" spans="6:6" x14ac:dyDescent="0.25">
      <c r="F925">
        <v>961</v>
      </c>
    </row>
    <row r="926" spans="6:6" x14ac:dyDescent="0.25">
      <c r="F926">
        <v>962</v>
      </c>
    </row>
    <row r="927" spans="6:6" x14ac:dyDescent="0.25">
      <c r="F927">
        <v>963</v>
      </c>
    </row>
    <row r="928" spans="6:6" x14ac:dyDescent="0.25">
      <c r="F928">
        <v>964</v>
      </c>
    </row>
    <row r="929" spans="6:6" x14ac:dyDescent="0.25">
      <c r="F929">
        <v>965</v>
      </c>
    </row>
    <row r="930" spans="6:6" x14ac:dyDescent="0.25">
      <c r="F930">
        <v>966</v>
      </c>
    </row>
    <row r="931" spans="6:6" x14ac:dyDescent="0.25">
      <c r="F931">
        <v>967</v>
      </c>
    </row>
    <row r="932" spans="6:6" x14ac:dyDescent="0.25">
      <c r="F932">
        <v>968</v>
      </c>
    </row>
    <row r="933" spans="6:6" x14ac:dyDescent="0.25">
      <c r="F933">
        <v>969</v>
      </c>
    </row>
    <row r="934" spans="6:6" x14ac:dyDescent="0.25">
      <c r="F934">
        <v>970</v>
      </c>
    </row>
    <row r="935" spans="6:6" x14ac:dyDescent="0.25">
      <c r="F935">
        <v>971</v>
      </c>
    </row>
    <row r="936" spans="6:6" x14ac:dyDescent="0.25">
      <c r="F936">
        <v>972</v>
      </c>
    </row>
    <row r="937" spans="6:6" x14ac:dyDescent="0.25">
      <c r="F937">
        <v>973</v>
      </c>
    </row>
    <row r="938" spans="6:6" x14ac:dyDescent="0.25">
      <c r="F938">
        <v>974</v>
      </c>
    </row>
    <row r="939" spans="6:6" x14ac:dyDescent="0.25">
      <c r="F939">
        <v>975</v>
      </c>
    </row>
    <row r="940" spans="6:6" x14ac:dyDescent="0.25">
      <c r="F940">
        <v>976</v>
      </c>
    </row>
    <row r="941" spans="6:6" x14ac:dyDescent="0.25">
      <c r="F941">
        <v>977</v>
      </c>
    </row>
    <row r="942" spans="6:6" x14ac:dyDescent="0.25">
      <c r="F942">
        <v>978</v>
      </c>
    </row>
    <row r="943" spans="6:6" x14ac:dyDescent="0.25">
      <c r="F943">
        <v>979</v>
      </c>
    </row>
    <row r="944" spans="6:6" x14ac:dyDescent="0.25">
      <c r="F944">
        <v>980</v>
      </c>
    </row>
    <row r="945" spans="6:6" x14ac:dyDescent="0.25">
      <c r="F945">
        <v>981</v>
      </c>
    </row>
    <row r="946" spans="6:6" x14ac:dyDescent="0.25">
      <c r="F946">
        <v>982</v>
      </c>
    </row>
    <row r="947" spans="6:6" x14ac:dyDescent="0.25">
      <c r="F947">
        <v>983</v>
      </c>
    </row>
    <row r="948" spans="6:6" x14ac:dyDescent="0.25">
      <c r="F948">
        <v>984</v>
      </c>
    </row>
    <row r="949" spans="6:6" x14ac:dyDescent="0.25">
      <c r="F949">
        <v>985</v>
      </c>
    </row>
    <row r="950" spans="6:6" x14ac:dyDescent="0.25">
      <c r="F950">
        <v>986</v>
      </c>
    </row>
    <row r="951" spans="6:6" x14ac:dyDescent="0.25">
      <c r="F951">
        <v>987</v>
      </c>
    </row>
    <row r="952" spans="6:6" x14ac:dyDescent="0.25">
      <c r="F952">
        <v>988</v>
      </c>
    </row>
    <row r="953" spans="6:6" x14ac:dyDescent="0.25">
      <c r="F953">
        <v>989</v>
      </c>
    </row>
    <row r="954" spans="6:6" x14ac:dyDescent="0.25">
      <c r="F954">
        <v>990</v>
      </c>
    </row>
    <row r="955" spans="6:6" x14ac:dyDescent="0.25">
      <c r="F955">
        <v>991</v>
      </c>
    </row>
    <row r="956" spans="6:6" x14ac:dyDescent="0.25">
      <c r="F956">
        <v>992</v>
      </c>
    </row>
    <row r="957" spans="6:6" x14ac:dyDescent="0.25">
      <c r="F957">
        <v>993</v>
      </c>
    </row>
    <row r="958" spans="6:6" x14ac:dyDescent="0.25">
      <c r="F958">
        <v>994</v>
      </c>
    </row>
    <row r="959" spans="6:6" x14ac:dyDescent="0.25">
      <c r="F959">
        <v>995</v>
      </c>
    </row>
    <row r="960" spans="6:6" x14ac:dyDescent="0.25">
      <c r="F960">
        <v>996</v>
      </c>
    </row>
    <row r="961" spans="6:6" x14ac:dyDescent="0.25">
      <c r="F961">
        <v>997</v>
      </c>
    </row>
    <row r="962" spans="6:6" x14ac:dyDescent="0.25">
      <c r="F962">
        <v>998</v>
      </c>
    </row>
    <row r="963" spans="6:6" x14ac:dyDescent="0.25">
      <c r="F963">
        <v>999</v>
      </c>
    </row>
    <row r="964" spans="6:6" x14ac:dyDescent="0.25">
      <c r="F964">
        <v>1000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S36"/>
  <sheetViews>
    <sheetView workbookViewId="0">
      <selection activeCell="H6" sqref="H6"/>
    </sheetView>
  </sheetViews>
  <sheetFormatPr defaultRowHeight="15" x14ac:dyDescent="0.25"/>
  <cols>
    <col min="1" max="1" width="7.7109375" bestFit="1" customWidth="1"/>
    <col min="2" max="2" width="6.7109375" bestFit="1" customWidth="1"/>
    <col min="5" max="5" width="8" customWidth="1"/>
    <col min="6" max="7" width="5" customWidth="1"/>
    <col min="8" max="8" width="16.28515625" bestFit="1" customWidth="1"/>
    <col min="9" max="9" width="7.7109375" customWidth="1"/>
    <col min="10" max="13" width="11.140625" customWidth="1"/>
    <col min="14" max="14" width="9.28515625" customWidth="1"/>
  </cols>
  <sheetData>
    <row r="1" spans="1:19" x14ac:dyDescent="0.25">
      <c r="A1" s="34" t="s">
        <v>73</v>
      </c>
      <c r="B1" t="s">
        <v>77</v>
      </c>
    </row>
    <row r="5" spans="1:19" x14ac:dyDescent="0.25">
      <c r="E5" s="55" t="s">
        <v>121</v>
      </c>
      <c r="F5" s="55">
        <v>2020</v>
      </c>
      <c r="G5" s="55">
        <v>2025</v>
      </c>
      <c r="H5" s="55" t="s">
        <v>122</v>
      </c>
      <c r="I5" s="55" t="s">
        <v>123</v>
      </c>
      <c r="J5" s="55" t="s">
        <v>126</v>
      </c>
      <c r="K5" s="56"/>
      <c r="L5" s="56"/>
      <c r="M5" s="56"/>
      <c r="N5" s="56"/>
    </row>
    <row r="6" spans="1:19" x14ac:dyDescent="0.25">
      <c r="E6" s="48" t="s">
        <v>59</v>
      </c>
      <c r="F6" s="49">
        <v>20</v>
      </c>
      <c r="G6" s="48">
        <v>56</v>
      </c>
      <c r="H6" s="18" t="str">
        <f t="shared" ref="H6:H36" si="0">IF(G6&gt;F6,"Aproved",IF(G6&lt;F6,"Rejected",IF(G6=F6,"No Improvement")))</f>
        <v>Aproved</v>
      </c>
      <c r="I6" s="18" t="s">
        <v>124</v>
      </c>
      <c r="J6" s="18" t="str">
        <f>IF(E6="M","Mr."&amp;E6,"Ms."&amp;E6)</f>
        <v xml:space="preserve">Ms.Ajay </v>
      </c>
      <c r="K6" s="56"/>
      <c r="L6" s="56"/>
      <c r="M6" s="52"/>
      <c r="N6" s="52"/>
      <c r="P6" s="80" t="s">
        <v>60</v>
      </c>
      <c r="Q6" s="81"/>
      <c r="R6" s="81"/>
      <c r="S6" s="82"/>
    </row>
    <row r="7" spans="1:19" x14ac:dyDescent="0.25">
      <c r="E7" s="48" t="s">
        <v>60</v>
      </c>
      <c r="F7" s="49">
        <v>24</v>
      </c>
      <c r="G7" s="48">
        <v>54</v>
      </c>
      <c r="H7" s="18" t="str">
        <f t="shared" si="0"/>
        <v>Aproved</v>
      </c>
      <c r="I7" s="18" t="s">
        <v>124</v>
      </c>
      <c r="J7" s="18" t="str">
        <f t="shared" ref="J7:J36" si="1">IF(E7="M","Mr."&amp;E7,"Ms."&amp;E7)</f>
        <v xml:space="preserve">Ms.Rakesh </v>
      </c>
      <c r="K7" s="52"/>
      <c r="L7" s="52"/>
      <c r="M7" s="52"/>
      <c r="N7" s="52"/>
      <c r="P7" s="85">
        <v>2025</v>
      </c>
      <c r="Q7" s="85"/>
      <c r="R7" s="85">
        <v>2020</v>
      </c>
      <c r="S7" s="85"/>
    </row>
    <row r="8" spans="1:19" x14ac:dyDescent="0.25">
      <c r="E8" s="48" t="s">
        <v>61</v>
      </c>
      <c r="F8" s="49">
        <v>23</v>
      </c>
      <c r="G8" s="48">
        <v>2</v>
      </c>
      <c r="H8" s="18" t="str">
        <f t="shared" si="0"/>
        <v>Rejected</v>
      </c>
      <c r="I8" s="18" t="s">
        <v>124</v>
      </c>
      <c r="J8" s="18" t="str">
        <f t="shared" si="1"/>
        <v>Ms.Durga</v>
      </c>
      <c r="K8" s="52"/>
      <c r="L8" s="52"/>
      <c r="M8" s="52"/>
      <c r="N8" s="52"/>
      <c r="P8" s="83">
        <f>SUMIF(E6:E36,P6,G6:G36)</f>
        <v>216</v>
      </c>
      <c r="Q8" s="84"/>
      <c r="R8" s="83">
        <f>SUMIF(E6:E36,P6,F6:F36)</f>
        <v>96</v>
      </c>
      <c r="S8" s="84"/>
    </row>
    <row r="9" spans="1:19" x14ac:dyDescent="0.25">
      <c r="E9" s="48" t="s">
        <v>62</v>
      </c>
      <c r="F9" s="49">
        <v>24</v>
      </c>
      <c r="G9" s="48">
        <v>57</v>
      </c>
      <c r="H9" s="18" t="str">
        <f t="shared" si="0"/>
        <v>Aproved</v>
      </c>
      <c r="I9" s="18" t="s">
        <v>124</v>
      </c>
      <c r="J9" s="18" t="str">
        <f t="shared" si="1"/>
        <v xml:space="preserve">Ms.Nani </v>
      </c>
      <c r="K9" s="52"/>
      <c r="L9" s="52"/>
      <c r="M9" s="52"/>
      <c r="N9" s="52"/>
    </row>
    <row r="10" spans="1:19" x14ac:dyDescent="0.25">
      <c r="E10" s="48" t="s">
        <v>63</v>
      </c>
      <c r="F10" s="49">
        <v>24</v>
      </c>
      <c r="G10" s="48">
        <v>20</v>
      </c>
      <c r="H10" s="18" t="str">
        <f t="shared" si="0"/>
        <v>Rejected</v>
      </c>
      <c r="I10" s="18" t="s">
        <v>125</v>
      </c>
      <c r="J10" s="18" t="str">
        <f t="shared" si="1"/>
        <v xml:space="preserve">Ms.Keerthi </v>
      </c>
      <c r="K10" s="52"/>
      <c r="L10" s="52"/>
      <c r="M10" s="52"/>
      <c r="N10" s="52"/>
    </row>
    <row r="11" spans="1:19" x14ac:dyDescent="0.25">
      <c r="E11" s="48" t="s">
        <v>64</v>
      </c>
      <c r="F11" s="49">
        <v>23</v>
      </c>
      <c r="G11" s="48">
        <v>65</v>
      </c>
      <c r="H11" s="18" t="str">
        <f t="shared" si="0"/>
        <v>Aproved</v>
      </c>
      <c r="I11" s="18" t="s">
        <v>125</v>
      </c>
      <c r="J11" s="18" t="str">
        <f t="shared" si="1"/>
        <v xml:space="preserve">Ms.Usha </v>
      </c>
      <c r="K11" s="52"/>
      <c r="L11" s="52"/>
      <c r="M11" s="52"/>
      <c r="N11" s="52"/>
      <c r="P11" s="63" t="s">
        <v>120</v>
      </c>
      <c r="Q11" s="63"/>
      <c r="R11" s="63"/>
      <c r="S11" s="63"/>
    </row>
    <row r="12" spans="1:19" x14ac:dyDescent="0.25">
      <c r="E12" s="48" t="s">
        <v>65</v>
      </c>
      <c r="F12" s="49">
        <v>26</v>
      </c>
      <c r="G12" s="48">
        <v>35</v>
      </c>
      <c r="H12" s="18" t="str">
        <f t="shared" si="0"/>
        <v>Aproved</v>
      </c>
      <c r="I12" s="18" t="s">
        <v>125</v>
      </c>
      <c r="J12" s="18" t="str">
        <f t="shared" si="1"/>
        <v>Ms.Ramana</v>
      </c>
      <c r="K12" s="52"/>
      <c r="L12" s="52"/>
      <c r="M12" s="52"/>
      <c r="N12" s="52"/>
      <c r="P12" s="63">
        <f>COUNTIF(E6:E36,"Ajay ")</f>
        <v>4</v>
      </c>
      <c r="Q12" s="63"/>
      <c r="R12" s="63"/>
      <c r="S12" s="63"/>
    </row>
    <row r="13" spans="1:19" x14ac:dyDescent="0.25">
      <c r="E13" s="48"/>
      <c r="F13" s="49"/>
      <c r="G13" s="48"/>
      <c r="H13" s="18"/>
      <c r="I13" s="18"/>
      <c r="J13" s="18"/>
      <c r="K13" s="52"/>
      <c r="L13" s="52"/>
      <c r="M13" s="52"/>
      <c r="N13" s="52"/>
    </row>
    <row r="14" spans="1:19" x14ac:dyDescent="0.25">
      <c r="E14" s="48" t="s">
        <v>59</v>
      </c>
      <c r="F14" s="49">
        <v>20</v>
      </c>
      <c r="G14" s="48">
        <v>56</v>
      </c>
      <c r="H14" s="18" t="str">
        <f t="shared" si="0"/>
        <v>Aproved</v>
      </c>
      <c r="I14" s="18" t="s">
        <v>124</v>
      </c>
      <c r="J14" s="18" t="str">
        <f t="shared" si="1"/>
        <v xml:space="preserve">Ms.Ajay </v>
      </c>
      <c r="K14" s="52"/>
      <c r="L14" s="52"/>
      <c r="M14" s="52"/>
      <c r="N14" s="52"/>
      <c r="P14" s="29"/>
      <c r="Q14" s="29"/>
      <c r="R14" s="29"/>
      <c r="S14" s="29"/>
    </row>
    <row r="15" spans="1:19" x14ac:dyDescent="0.25">
      <c r="E15" s="48" t="s">
        <v>60</v>
      </c>
      <c r="F15" s="49">
        <v>24</v>
      </c>
      <c r="G15" s="48">
        <v>54</v>
      </c>
      <c r="H15" s="18" t="str">
        <f t="shared" si="0"/>
        <v>Aproved</v>
      </c>
      <c r="I15" s="18" t="s">
        <v>124</v>
      </c>
      <c r="J15" s="18" t="str">
        <f t="shared" si="1"/>
        <v xml:space="preserve">Ms.Rakesh </v>
      </c>
      <c r="K15" s="52"/>
      <c r="L15" s="52"/>
      <c r="M15" s="52"/>
      <c r="N15" s="52"/>
      <c r="P15" s="63"/>
      <c r="Q15" s="63"/>
      <c r="R15" s="63"/>
      <c r="S15" s="63"/>
    </row>
    <row r="16" spans="1:19" x14ac:dyDescent="0.25">
      <c r="E16" s="48" t="s">
        <v>61</v>
      </c>
      <c r="F16" s="49">
        <v>23</v>
      </c>
      <c r="G16" s="48">
        <v>1</v>
      </c>
      <c r="H16" s="18" t="str">
        <f t="shared" si="0"/>
        <v>Rejected</v>
      </c>
      <c r="I16" s="18" t="s">
        <v>124</v>
      </c>
      <c r="J16" s="18" t="str">
        <f t="shared" si="1"/>
        <v>Ms.Durga</v>
      </c>
      <c r="K16" s="52"/>
      <c r="L16" s="52"/>
      <c r="M16" s="52"/>
      <c r="N16" s="52"/>
    </row>
    <row r="17" spans="5:14" x14ac:dyDescent="0.25">
      <c r="E17" s="48" t="s">
        <v>62</v>
      </c>
      <c r="F17" s="49">
        <v>24</v>
      </c>
      <c r="G17" s="48">
        <v>57</v>
      </c>
      <c r="H17" s="18" t="str">
        <f t="shared" si="0"/>
        <v>Aproved</v>
      </c>
      <c r="I17" s="18" t="s">
        <v>124</v>
      </c>
      <c r="J17" s="18" t="str">
        <f t="shared" si="1"/>
        <v xml:space="preserve">Ms.Nani </v>
      </c>
      <c r="K17" s="52"/>
      <c r="L17" s="52"/>
      <c r="M17" s="52"/>
      <c r="N17" s="52"/>
    </row>
    <row r="18" spans="5:14" x14ac:dyDescent="0.25">
      <c r="E18" s="48" t="s">
        <v>63</v>
      </c>
      <c r="F18" s="49">
        <v>24</v>
      </c>
      <c r="G18" s="48">
        <v>2</v>
      </c>
      <c r="H18" s="18" t="str">
        <f t="shared" si="0"/>
        <v>Rejected</v>
      </c>
      <c r="I18" s="18" t="s">
        <v>125</v>
      </c>
      <c r="J18" s="18" t="str">
        <f t="shared" si="1"/>
        <v xml:space="preserve">Ms.Keerthi </v>
      </c>
      <c r="K18" s="52"/>
      <c r="L18" s="52"/>
      <c r="M18" s="52"/>
      <c r="N18" s="52"/>
    </row>
    <row r="19" spans="5:14" x14ac:dyDescent="0.25">
      <c r="E19" s="48" t="s">
        <v>64</v>
      </c>
      <c r="F19" s="49">
        <v>23</v>
      </c>
      <c r="G19" s="48">
        <v>65</v>
      </c>
      <c r="H19" s="18" t="str">
        <f t="shared" si="0"/>
        <v>Aproved</v>
      </c>
      <c r="I19" s="18" t="s">
        <v>125</v>
      </c>
      <c r="J19" s="18" t="str">
        <f t="shared" si="1"/>
        <v xml:space="preserve">Ms.Usha </v>
      </c>
      <c r="K19" s="52"/>
      <c r="L19" s="52"/>
      <c r="M19" s="52"/>
      <c r="N19" s="52"/>
    </row>
    <row r="20" spans="5:14" x14ac:dyDescent="0.25">
      <c r="E20" s="48" t="s">
        <v>65</v>
      </c>
      <c r="F20" s="49">
        <v>26</v>
      </c>
      <c r="G20" s="48">
        <v>5</v>
      </c>
      <c r="H20" s="18" t="str">
        <f t="shared" si="0"/>
        <v>Rejected</v>
      </c>
      <c r="I20" s="18" t="s">
        <v>125</v>
      </c>
      <c r="J20" s="18" t="str">
        <f t="shared" si="1"/>
        <v>Ms.Ramana</v>
      </c>
      <c r="K20" s="52"/>
      <c r="L20" s="52"/>
      <c r="M20" s="52"/>
      <c r="N20" s="52"/>
    </row>
    <row r="21" spans="5:14" x14ac:dyDescent="0.25">
      <c r="E21" s="50"/>
      <c r="F21" s="51"/>
      <c r="G21" s="50"/>
      <c r="H21" s="18"/>
      <c r="I21" s="18"/>
      <c r="J21" s="18"/>
      <c r="K21" s="52"/>
      <c r="L21" s="52"/>
      <c r="M21" s="52"/>
      <c r="N21" s="52"/>
    </row>
    <row r="22" spans="5:14" x14ac:dyDescent="0.25">
      <c r="E22" s="48" t="s">
        <v>59</v>
      </c>
      <c r="F22" s="49">
        <v>20</v>
      </c>
      <c r="G22" s="48">
        <v>56</v>
      </c>
      <c r="H22" s="18" t="str">
        <f t="shared" si="0"/>
        <v>Aproved</v>
      </c>
      <c r="I22" s="18" t="s">
        <v>124</v>
      </c>
      <c r="J22" s="18" t="str">
        <f t="shared" si="1"/>
        <v xml:space="preserve">Ms.Ajay </v>
      </c>
      <c r="K22" s="52"/>
      <c r="L22" s="52"/>
      <c r="M22" s="52"/>
      <c r="N22" s="52"/>
    </row>
    <row r="23" spans="5:14" x14ac:dyDescent="0.25">
      <c r="E23" s="48" t="s">
        <v>60</v>
      </c>
      <c r="F23" s="49">
        <v>24</v>
      </c>
      <c r="G23" s="48">
        <v>54</v>
      </c>
      <c r="H23" s="18" t="str">
        <f t="shared" si="0"/>
        <v>Aproved</v>
      </c>
      <c r="I23" s="18" t="s">
        <v>124</v>
      </c>
      <c r="J23" s="18" t="str">
        <f t="shared" si="1"/>
        <v xml:space="preserve">Ms.Rakesh </v>
      </c>
      <c r="K23" s="52"/>
      <c r="L23" s="52"/>
      <c r="M23" s="52"/>
      <c r="N23" s="52"/>
    </row>
    <row r="24" spans="5:14" x14ac:dyDescent="0.25">
      <c r="E24" s="48" t="s">
        <v>61</v>
      </c>
      <c r="F24" s="49">
        <v>23</v>
      </c>
      <c r="G24" s="48">
        <v>58</v>
      </c>
      <c r="H24" s="18" t="str">
        <f t="shared" si="0"/>
        <v>Aproved</v>
      </c>
      <c r="I24" s="18" t="s">
        <v>124</v>
      </c>
      <c r="J24" s="18" t="str">
        <f t="shared" si="1"/>
        <v>Ms.Durga</v>
      </c>
      <c r="K24" s="52"/>
      <c r="L24" s="52"/>
      <c r="M24" s="52"/>
      <c r="N24" s="52"/>
    </row>
    <row r="25" spans="5:14" x14ac:dyDescent="0.25">
      <c r="E25" s="48" t="s">
        <v>62</v>
      </c>
      <c r="F25" s="49">
        <v>24</v>
      </c>
      <c r="G25" s="48">
        <v>5</v>
      </c>
      <c r="H25" s="18" t="str">
        <f t="shared" si="0"/>
        <v>Rejected</v>
      </c>
      <c r="I25" s="18" t="s">
        <v>124</v>
      </c>
      <c r="J25" s="18" t="str">
        <f t="shared" si="1"/>
        <v xml:space="preserve">Ms.Nani </v>
      </c>
      <c r="K25" s="52"/>
      <c r="L25" s="52"/>
      <c r="M25" s="52"/>
      <c r="N25" s="52"/>
    </row>
    <row r="26" spans="5:14" x14ac:dyDescent="0.25">
      <c r="E26" s="48" t="s">
        <v>63</v>
      </c>
      <c r="F26" s="49">
        <v>24</v>
      </c>
      <c r="G26" s="48">
        <v>51</v>
      </c>
      <c r="H26" s="18" t="str">
        <f t="shared" si="0"/>
        <v>Aproved</v>
      </c>
      <c r="I26" s="18" t="s">
        <v>125</v>
      </c>
      <c r="J26" s="18" t="str">
        <f t="shared" si="1"/>
        <v xml:space="preserve">Ms.Keerthi </v>
      </c>
      <c r="K26" s="52"/>
      <c r="L26" s="52"/>
      <c r="M26" s="52"/>
      <c r="N26" s="52"/>
    </row>
    <row r="27" spans="5:14" x14ac:dyDescent="0.25">
      <c r="E27" s="48" t="s">
        <v>64</v>
      </c>
      <c r="F27" s="49">
        <v>23</v>
      </c>
      <c r="G27" s="48">
        <v>6</v>
      </c>
      <c r="H27" s="18" t="str">
        <f t="shared" si="0"/>
        <v>Rejected</v>
      </c>
      <c r="I27" s="18" t="s">
        <v>125</v>
      </c>
      <c r="J27" s="18" t="str">
        <f t="shared" si="1"/>
        <v xml:space="preserve">Ms.Usha </v>
      </c>
      <c r="K27" s="52"/>
      <c r="L27" s="52"/>
      <c r="M27" s="52"/>
      <c r="N27" s="52"/>
    </row>
    <row r="28" spans="5:14" x14ac:dyDescent="0.25">
      <c r="E28" s="50" t="s">
        <v>65</v>
      </c>
      <c r="F28" s="51">
        <v>26</v>
      </c>
      <c r="G28" s="50">
        <v>35</v>
      </c>
      <c r="H28" s="18" t="str">
        <f t="shared" si="0"/>
        <v>Aproved</v>
      </c>
      <c r="I28" s="18" t="s">
        <v>125</v>
      </c>
      <c r="J28" s="18" t="str">
        <f t="shared" si="1"/>
        <v>Ms.Ramana</v>
      </c>
      <c r="K28" s="52"/>
      <c r="L28" s="52"/>
      <c r="M28" s="52"/>
      <c r="N28" s="52"/>
    </row>
    <row r="29" spans="5:14" x14ac:dyDescent="0.25">
      <c r="E29" s="50"/>
      <c r="F29" s="51"/>
      <c r="G29" s="50"/>
      <c r="H29" s="18"/>
      <c r="I29" s="18"/>
      <c r="J29" s="18"/>
      <c r="K29" s="52"/>
      <c r="L29" s="52"/>
      <c r="M29" s="52"/>
      <c r="N29" s="52"/>
    </row>
    <row r="30" spans="5:14" x14ac:dyDescent="0.25">
      <c r="E30" s="48" t="s">
        <v>59</v>
      </c>
      <c r="F30" s="49">
        <v>20</v>
      </c>
      <c r="G30" s="48">
        <v>56</v>
      </c>
      <c r="H30" s="18" t="str">
        <f t="shared" si="0"/>
        <v>Aproved</v>
      </c>
      <c r="I30" s="18" t="s">
        <v>124</v>
      </c>
      <c r="J30" s="18" t="str">
        <f t="shared" si="1"/>
        <v xml:space="preserve">Ms.Ajay </v>
      </c>
      <c r="K30" s="52"/>
      <c r="L30" s="52"/>
      <c r="M30" s="52"/>
      <c r="N30" s="52"/>
    </row>
    <row r="31" spans="5:14" x14ac:dyDescent="0.25">
      <c r="E31" s="48" t="s">
        <v>60</v>
      </c>
      <c r="F31" s="49">
        <v>24</v>
      </c>
      <c r="G31" s="48">
        <v>54</v>
      </c>
      <c r="H31" s="18" t="str">
        <f t="shared" si="0"/>
        <v>Aproved</v>
      </c>
      <c r="I31" s="18" t="s">
        <v>124</v>
      </c>
      <c r="J31" s="18" t="str">
        <f t="shared" si="1"/>
        <v xml:space="preserve">Ms.Rakesh </v>
      </c>
      <c r="K31" s="52"/>
      <c r="L31" s="52"/>
      <c r="M31" s="52"/>
      <c r="N31" s="52"/>
    </row>
    <row r="32" spans="5:14" x14ac:dyDescent="0.25">
      <c r="E32" s="48" t="s">
        <v>61</v>
      </c>
      <c r="F32" s="49">
        <v>23</v>
      </c>
      <c r="G32" s="48">
        <v>58</v>
      </c>
      <c r="H32" s="18" t="str">
        <f t="shared" si="0"/>
        <v>Aproved</v>
      </c>
      <c r="I32" s="18" t="s">
        <v>124</v>
      </c>
      <c r="J32" s="18" t="str">
        <f t="shared" si="1"/>
        <v>Ms.Durga</v>
      </c>
      <c r="K32" s="52"/>
      <c r="L32" s="52"/>
      <c r="M32" s="52"/>
      <c r="N32" s="52"/>
    </row>
    <row r="33" spans="5:14" x14ac:dyDescent="0.25">
      <c r="E33" s="48" t="s">
        <v>62</v>
      </c>
      <c r="F33" s="49">
        <v>23</v>
      </c>
      <c r="G33" s="48">
        <v>23</v>
      </c>
      <c r="H33" s="18" t="str">
        <f t="shared" si="0"/>
        <v>No Improvement</v>
      </c>
      <c r="I33" s="18" t="s">
        <v>124</v>
      </c>
      <c r="J33" s="18" t="str">
        <f t="shared" si="1"/>
        <v xml:space="preserve">Ms.Nani </v>
      </c>
      <c r="K33" s="52"/>
      <c r="L33" s="52"/>
      <c r="M33" s="52"/>
      <c r="N33" s="52"/>
    </row>
    <row r="34" spans="5:14" x14ac:dyDescent="0.25">
      <c r="E34" s="48" t="s">
        <v>63</v>
      </c>
      <c r="F34" s="49">
        <v>24</v>
      </c>
      <c r="G34" s="48">
        <v>51</v>
      </c>
      <c r="H34" s="18" t="str">
        <f t="shared" si="0"/>
        <v>Aproved</v>
      </c>
      <c r="I34" s="18" t="s">
        <v>125</v>
      </c>
      <c r="J34" s="18" t="str">
        <f t="shared" si="1"/>
        <v xml:space="preserve">Ms.Keerthi </v>
      </c>
      <c r="K34" s="52"/>
      <c r="L34" s="52"/>
      <c r="M34" s="52"/>
      <c r="N34" s="52"/>
    </row>
    <row r="35" spans="5:14" x14ac:dyDescent="0.25">
      <c r="E35" s="48" t="s">
        <v>64</v>
      </c>
      <c r="F35" s="49">
        <v>23</v>
      </c>
      <c r="G35" s="48">
        <v>65</v>
      </c>
      <c r="H35" s="18" t="str">
        <f t="shared" si="0"/>
        <v>Aproved</v>
      </c>
      <c r="I35" s="18" t="s">
        <v>125</v>
      </c>
      <c r="J35" s="18" t="str">
        <f t="shared" si="1"/>
        <v xml:space="preserve">Ms.Usha </v>
      </c>
      <c r="K35" s="52"/>
      <c r="L35" s="52"/>
      <c r="M35" s="52"/>
      <c r="N35" s="52"/>
    </row>
    <row r="36" spans="5:14" x14ac:dyDescent="0.25">
      <c r="E36" s="48" t="s">
        <v>65</v>
      </c>
      <c r="F36" s="49">
        <v>26</v>
      </c>
      <c r="G36" s="48">
        <v>26</v>
      </c>
      <c r="H36" s="18" t="str">
        <f t="shared" si="0"/>
        <v>No Improvement</v>
      </c>
      <c r="I36" s="18" t="s">
        <v>125</v>
      </c>
      <c r="J36" s="18" t="str">
        <f t="shared" si="1"/>
        <v>Ms.Ramana</v>
      </c>
      <c r="K36" s="52"/>
      <c r="L36" s="52"/>
      <c r="M36" s="52"/>
      <c r="N36" s="52"/>
    </row>
  </sheetData>
  <autoFilter ref="P6:S8">
    <filterColumn colId="0" showButton="0"/>
    <filterColumn colId="1" showButton="0"/>
    <filterColumn colId="2" showButton="0"/>
  </autoFilter>
  <mergeCells count="8">
    <mergeCell ref="P15:S15"/>
    <mergeCell ref="P11:S11"/>
    <mergeCell ref="P12:S12"/>
    <mergeCell ref="P6:S6"/>
    <mergeCell ref="P8:Q8"/>
    <mergeCell ref="R8:S8"/>
    <mergeCell ref="P7:Q7"/>
    <mergeCell ref="R7:S7"/>
  </mergeCells>
  <conditionalFormatting sqref="E5:N36">
    <cfRule type="cellIs" dxfId="9" priority="3" operator="equal">
      <formula>"Rejected"</formula>
    </cfRule>
    <cfRule type="cellIs" dxfId="8" priority="4" operator="equal">
      <formula>"Aproved"</formula>
    </cfRule>
  </conditionalFormatting>
  <conditionalFormatting sqref="E1:M1048576">
    <cfRule type="cellIs" dxfId="7" priority="1" operator="equal">
      <formula>"no improvement"</formula>
    </cfRule>
    <cfRule type="cellIs" dxfId="6" priority="2" operator="equal">
      <formula>"Rejected"</formula>
    </cfRule>
  </conditionalFormatting>
  <pageMargins left="0.7" right="0.7" top="0.75" bottom="0.75" header="0.3" footer="0.3"/>
  <pageSetup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D6:G19"/>
  <sheetViews>
    <sheetView workbookViewId="0">
      <selection activeCell="D7" sqref="D7"/>
    </sheetView>
  </sheetViews>
  <sheetFormatPr defaultRowHeight="15" x14ac:dyDescent="0.25"/>
  <cols>
    <col min="1" max="1" width="7.7109375" bestFit="1" customWidth="1"/>
    <col min="2" max="2" width="8" bestFit="1" customWidth="1"/>
    <col min="3" max="3" width="7.7109375" customWidth="1"/>
    <col min="4" max="4" width="9.85546875" customWidth="1"/>
    <col min="5" max="5" width="11.5703125" bestFit="1" customWidth="1"/>
    <col min="7" max="7" width="8" customWidth="1"/>
    <col min="8" max="8" width="7.7109375" customWidth="1"/>
    <col min="9" max="9" width="13.42578125" customWidth="1"/>
  </cols>
  <sheetData>
    <row r="6" spans="4:7" x14ac:dyDescent="0.25">
      <c r="D6" s="55" t="s">
        <v>58</v>
      </c>
      <c r="E6" s="55" t="s">
        <v>127</v>
      </c>
      <c r="F6" s="55" t="s">
        <v>128</v>
      </c>
      <c r="G6" s="55" t="s">
        <v>129</v>
      </c>
    </row>
    <row r="7" spans="4:7" x14ac:dyDescent="0.25">
      <c r="D7" s="18"/>
      <c r="E7" s="18"/>
      <c r="F7" s="18"/>
      <c r="G7" s="18"/>
    </row>
    <row r="8" spans="4:7" x14ac:dyDescent="0.25">
      <c r="D8" s="18"/>
      <c r="E8" s="18"/>
      <c r="F8" s="18"/>
      <c r="G8" s="18"/>
    </row>
    <row r="9" spans="4:7" x14ac:dyDescent="0.25">
      <c r="D9" s="18"/>
      <c r="E9" s="18"/>
      <c r="F9" s="18"/>
      <c r="G9" s="18"/>
    </row>
    <row r="10" spans="4:7" x14ac:dyDescent="0.25">
      <c r="D10" s="18"/>
      <c r="E10" s="18"/>
      <c r="F10" s="18"/>
      <c r="G10" s="18"/>
    </row>
    <row r="11" spans="4:7" x14ac:dyDescent="0.25">
      <c r="D11" s="18"/>
      <c r="E11" s="18"/>
      <c r="F11" s="18"/>
      <c r="G11" s="18"/>
    </row>
    <row r="12" spans="4:7" x14ac:dyDescent="0.25">
      <c r="D12" s="18"/>
      <c r="E12" s="18"/>
      <c r="F12" s="18"/>
      <c r="G12" s="18"/>
    </row>
    <row r="13" spans="4:7" x14ac:dyDescent="0.25">
      <c r="D13" s="18"/>
      <c r="E13" s="18"/>
      <c r="F13" s="18"/>
      <c r="G13" s="18"/>
    </row>
    <row r="14" spans="4:7" x14ac:dyDescent="0.25">
      <c r="D14" s="18"/>
      <c r="E14" s="18"/>
      <c r="F14" s="18"/>
      <c r="G14" s="18"/>
    </row>
    <row r="15" spans="4:7" x14ac:dyDescent="0.25">
      <c r="D15" s="18"/>
      <c r="E15" s="18"/>
      <c r="F15" s="18"/>
      <c r="G15" s="18"/>
    </row>
    <row r="16" spans="4:7" x14ac:dyDescent="0.25">
      <c r="D16" s="18"/>
      <c r="E16" s="18"/>
      <c r="F16" s="18"/>
      <c r="G16" s="18"/>
    </row>
    <row r="17" spans="4:7" x14ac:dyDescent="0.25">
      <c r="D17" s="18"/>
      <c r="E17" s="18"/>
      <c r="F17" s="18"/>
      <c r="G17" s="18"/>
    </row>
    <row r="18" spans="4:7" x14ac:dyDescent="0.25">
      <c r="D18" s="18"/>
      <c r="E18" s="18"/>
      <c r="F18" s="18"/>
      <c r="G18" s="18"/>
    </row>
    <row r="19" spans="4:7" x14ac:dyDescent="0.25">
      <c r="D19" s="18"/>
      <c r="E19" s="18"/>
      <c r="F19" s="18"/>
      <c r="G19" s="1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4:O14"/>
  <sheetViews>
    <sheetView tabSelected="1" workbookViewId="0">
      <selection activeCell="O4" sqref="O4"/>
    </sheetView>
  </sheetViews>
  <sheetFormatPr defaultRowHeight="15" x14ac:dyDescent="0.25"/>
  <cols>
    <col min="1" max="1" width="7.7109375" bestFit="1" customWidth="1"/>
    <col min="2" max="2" width="15.28515625" customWidth="1"/>
  </cols>
  <sheetData>
    <row r="4" spans="1:15" x14ac:dyDescent="0.25">
      <c r="A4" s="86" t="s">
        <v>130</v>
      </c>
      <c r="B4" s="86" t="s">
        <v>131</v>
      </c>
      <c r="C4" s="86" t="s">
        <v>123</v>
      </c>
      <c r="D4" s="86" t="s">
        <v>132</v>
      </c>
      <c r="E4" s="86" t="s">
        <v>133</v>
      </c>
      <c r="F4" s="86" t="s">
        <v>134</v>
      </c>
      <c r="G4" s="86" t="s">
        <v>135</v>
      </c>
      <c r="H4" s="86" t="s">
        <v>136</v>
      </c>
      <c r="I4" s="86" t="s">
        <v>137</v>
      </c>
      <c r="J4" s="86" t="s">
        <v>19</v>
      </c>
      <c r="K4" s="86" t="s">
        <v>138</v>
      </c>
      <c r="L4" s="86" t="s">
        <v>129</v>
      </c>
      <c r="M4" s="87" t="s">
        <v>139</v>
      </c>
      <c r="N4" s="86" t="s">
        <v>140</v>
      </c>
      <c r="O4" s="20" t="s">
        <v>90</v>
      </c>
    </row>
    <row r="5" spans="1:15" x14ac:dyDescent="0.25">
      <c r="A5" s="88">
        <v>1</v>
      </c>
      <c r="B5" s="89" t="s">
        <v>72</v>
      </c>
      <c r="C5" s="89" t="s">
        <v>124</v>
      </c>
      <c r="D5" s="89">
        <v>36631</v>
      </c>
      <c r="E5" s="90">
        <v>98</v>
      </c>
      <c r="F5" s="90">
        <v>89</v>
      </c>
      <c r="G5" s="90">
        <v>80</v>
      </c>
      <c r="H5" s="90">
        <v>91</v>
      </c>
      <c r="I5" s="90">
        <v>87</v>
      </c>
      <c r="J5" s="91">
        <f>SUM(E5+F5+G5+H5+I5)</f>
        <v>445</v>
      </c>
      <c r="K5" s="91">
        <f>J5/5</f>
        <v>89</v>
      </c>
      <c r="L5" s="92" t="str">
        <f>+IF(AND(E5&gt;=35,F5&gt;=35,G5&gt;=35,H5&gt;=35,I5&gt;=35),"PASS","FAIL")</f>
        <v>PASS</v>
      </c>
      <c r="M5" s="93">
        <f>RANK(J5,$J$4:$J$13)</f>
        <v>1</v>
      </c>
      <c r="N5" s="94">
        <f>+ROUND(K5,0)</f>
        <v>89</v>
      </c>
      <c r="O5" s="20" t="str">
        <f>IF(E5&gt;98,"I",IF(E5&lt;98,"L",IF(E5=98,"E")))</f>
        <v>E</v>
      </c>
    </row>
    <row r="6" spans="1:15" x14ac:dyDescent="0.25">
      <c r="A6" s="88">
        <v>2</v>
      </c>
      <c r="B6" s="89" t="s">
        <v>141</v>
      </c>
      <c r="C6" s="89" t="s">
        <v>125</v>
      </c>
      <c r="D6" s="89">
        <v>89609</v>
      </c>
      <c r="E6" s="90">
        <v>100</v>
      </c>
      <c r="F6" s="90">
        <v>90</v>
      </c>
      <c r="G6" s="90">
        <v>75</v>
      </c>
      <c r="H6" s="90">
        <v>41</v>
      </c>
      <c r="I6" s="90">
        <v>80</v>
      </c>
      <c r="J6" s="91">
        <f t="shared" ref="J6:J14" si="0">SUM(E6+F6+G6+H6+I6)</f>
        <v>386</v>
      </c>
      <c r="K6" s="91">
        <f t="shared" ref="K6:K14" si="1">J6/5</f>
        <v>77.2</v>
      </c>
      <c r="L6" s="92" t="str">
        <f t="shared" ref="L6:L14" si="2">+IF(AND(E6&gt;=35,F6&gt;=35,G6&gt;=35,H6&gt;=35,I6&gt;=35),"PASS","FAIL")</f>
        <v>PASS</v>
      </c>
      <c r="M6" s="93">
        <f t="shared" ref="M6:M14" si="3">RANK(J6,$J$4:$J$13)</f>
        <v>3</v>
      </c>
      <c r="N6" s="94">
        <f t="shared" ref="N6:N14" si="4">+ROUND(K6,0)</f>
        <v>77</v>
      </c>
      <c r="O6" s="20" t="str">
        <f t="shared" ref="O6:O14" si="5">IF(E6&gt;98,"I",IF(E6&lt;98,"L",IF(E6=98,"E")))</f>
        <v>I</v>
      </c>
    </row>
    <row r="7" spans="1:15" x14ac:dyDescent="0.25">
      <c r="A7" s="88">
        <v>3</v>
      </c>
      <c r="B7" s="89" t="s">
        <v>142</v>
      </c>
      <c r="C7" s="89" t="s">
        <v>124</v>
      </c>
      <c r="D7" s="89">
        <v>90287</v>
      </c>
      <c r="E7" s="90">
        <v>32</v>
      </c>
      <c r="F7" s="90">
        <v>49</v>
      </c>
      <c r="G7" s="90">
        <v>39</v>
      </c>
      <c r="H7" s="90">
        <v>93</v>
      </c>
      <c r="I7" s="90">
        <v>32</v>
      </c>
      <c r="J7" s="91">
        <f t="shared" si="0"/>
        <v>245</v>
      </c>
      <c r="K7" s="91">
        <f t="shared" si="1"/>
        <v>49</v>
      </c>
      <c r="L7" s="92" t="str">
        <f t="shared" si="2"/>
        <v>FAIL</v>
      </c>
      <c r="M7" s="93">
        <f t="shared" si="3"/>
        <v>9</v>
      </c>
      <c r="N7" s="94">
        <f t="shared" si="4"/>
        <v>49</v>
      </c>
      <c r="O7" s="20" t="str">
        <f t="shared" si="5"/>
        <v>L</v>
      </c>
    </row>
    <row r="8" spans="1:15" x14ac:dyDescent="0.25">
      <c r="A8" s="88">
        <v>4</v>
      </c>
      <c r="B8" s="89" t="s">
        <v>143</v>
      </c>
      <c r="C8" s="89" t="s">
        <v>124</v>
      </c>
      <c r="D8" s="89">
        <v>36303</v>
      </c>
      <c r="E8" s="90">
        <v>44</v>
      </c>
      <c r="F8" s="90">
        <v>56</v>
      </c>
      <c r="G8" s="90">
        <v>95</v>
      </c>
      <c r="H8" s="90">
        <v>97</v>
      </c>
      <c r="I8" s="90">
        <v>85</v>
      </c>
      <c r="J8" s="91">
        <f t="shared" si="0"/>
        <v>377</v>
      </c>
      <c r="K8" s="91">
        <f t="shared" si="1"/>
        <v>75.400000000000006</v>
      </c>
      <c r="L8" s="92" t="str">
        <f t="shared" si="2"/>
        <v>PASS</v>
      </c>
      <c r="M8" s="93">
        <f t="shared" si="3"/>
        <v>4</v>
      </c>
      <c r="N8" s="94">
        <f t="shared" si="4"/>
        <v>75</v>
      </c>
      <c r="O8" s="20" t="str">
        <f t="shared" si="5"/>
        <v>L</v>
      </c>
    </row>
    <row r="9" spans="1:15" x14ac:dyDescent="0.25">
      <c r="A9" s="88">
        <v>5</v>
      </c>
      <c r="B9" s="89" t="s">
        <v>144</v>
      </c>
      <c r="C9" s="89" t="s">
        <v>125</v>
      </c>
      <c r="D9" s="89">
        <v>94797</v>
      </c>
      <c r="E9" s="90">
        <v>99</v>
      </c>
      <c r="F9" s="90">
        <v>86</v>
      </c>
      <c r="G9" s="90">
        <v>42</v>
      </c>
      <c r="H9" s="90">
        <v>91</v>
      </c>
      <c r="I9" s="90">
        <v>25</v>
      </c>
      <c r="J9" s="91">
        <f t="shared" si="0"/>
        <v>343</v>
      </c>
      <c r="K9" s="91">
        <f t="shared" si="1"/>
        <v>68.599999999999994</v>
      </c>
      <c r="L9" s="92" t="str">
        <f t="shared" si="2"/>
        <v>FAIL</v>
      </c>
      <c r="M9" s="93">
        <f t="shared" si="3"/>
        <v>5</v>
      </c>
      <c r="N9" s="94">
        <f t="shared" si="4"/>
        <v>69</v>
      </c>
      <c r="O9" s="20" t="str">
        <f t="shared" si="5"/>
        <v>I</v>
      </c>
    </row>
    <row r="10" spans="1:15" x14ac:dyDescent="0.25">
      <c r="A10" s="88">
        <v>6</v>
      </c>
      <c r="B10" s="89" t="s">
        <v>145</v>
      </c>
      <c r="C10" s="89" t="s">
        <v>125</v>
      </c>
      <c r="D10" s="89">
        <v>44649</v>
      </c>
      <c r="E10" s="90">
        <v>72</v>
      </c>
      <c r="F10" s="90">
        <v>55</v>
      </c>
      <c r="G10" s="90">
        <v>50</v>
      </c>
      <c r="H10" s="90">
        <v>98</v>
      </c>
      <c r="I10" s="90">
        <v>26</v>
      </c>
      <c r="J10" s="91">
        <f t="shared" si="0"/>
        <v>301</v>
      </c>
      <c r="K10" s="91">
        <f t="shared" si="1"/>
        <v>60.2</v>
      </c>
      <c r="L10" s="92" t="str">
        <f t="shared" si="2"/>
        <v>FAIL</v>
      </c>
      <c r="M10" s="93">
        <f t="shared" si="3"/>
        <v>6</v>
      </c>
      <c r="N10" s="94">
        <f t="shared" si="4"/>
        <v>60</v>
      </c>
      <c r="O10" s="20" t="str">
        <f t="shared" si="5"/>
        <v>L</v>
      </c>
    </row>
    <row r="11" spans="1:15" x14ac:dyDescent="0.25">
      <c r="A11" s="88">
        <v>7</v>
      </c>
      <c r="B11" s="89" t="s">
        <v>146</v>
      </c>
      <c r="C11" s="89" t="s">
        <v>124</v>
      </c>
      <c r="D11" s="89">
        <v>25205</v>
      </c>
      <c r="E11" s="90">
        <v>99</v>
      </c>
      <c r="F11" s="90">
        <v>61</v>
      </c>
      <c r="G11" s="90">
        <v>86</v>
      </c>
      <c r="H11" s="90">
        <v>75</v>
      </c>
      <c r="I11" s="90">
        <v>68</v>
      </c>
      <c r="J11" s="91">
        <f t="shared" si="0"/>
        <v>389</v>
      </c>
      <c r="K11" s="91">
        <f t="shared" si="1"/>
        <v>77.8</v>
      </c>
      <c r="L11" s="92" t="str">
        <f t="shared" si="2"/>
        <v>PASS</v>
      </c>
      <c r="M11" s="93">
        <f t="shared" si="3"/>
        <v>2</v>
      </c>
      <c r="N11" s="94">
        <f t="shared" si="4"/>
        <v>78</v>
      </c>
      <c r="O11" s="20" t="str">
        <f t="shared" si="5"/>
        <v>I</v>
      </c>
    </row>
    <row r="12" spans="1:15" x14ac:dyDescent="0.25">
      <c r="A12" s="88">
        <v>8</v>
      </c>
      <c r="B12" s="89" t="s">
        <v>147</v>
      </c>
      <c r="C12" s="89" t="s">
        <v>125</v>
      </c>
      <c r="D12" s="89">
        <v>23032</v>
      </c>
      <c r="E12" s="90">
        <v>28</v>
      </c>
      <c r="F12" s="90">
        <v>77</v>
      </c>
      <c r="G12" s="90">
        <v>50</v>
      </c>
      <c r="H12" s="90">
        <v>60</v>
      </c>
      <c r="I12" s="90">
        <v>85</v>
      </c>
      <c r="J12" s="91">
        <f t="shared" si="0"/>
        <v>300</v>
      </c>
      <c r="K12" s="91">
        <f t="shared" si="1"/>
        <v>60</v>
      </c>
      <c r="L12" s="92" t="str">
        <f t="shared" si="2"/>
        <v>FAIL</v>
      </c>
      <c r="M12" s="93">
        <f t="shared" si="3"/>
        <v>7</v>
      </c>
      <c r="N12" s="94">
        <f t="shared" si="4"/>
        <v>60</v>
      </c>
      <c r="O12" s="20" t="str">
        <f t="shared" si="5"/>
        <v>L</v>
      </c>
    </row>
    <row r="13" spans="1:15" x14ac:dyDescent="0.25">
      <c r="A13" s="88">
        <v>9</v>
      </c>
      <c r="B13" s="89" t="s">
        <v>148</v>
      </c>
      <c r="C13" s="89" t="s">
        <v>124</v>
      </c>
      <c r="D13" s="89">
        <v>92898</v>
      </c>
      <c r="E13" s="90">
        <v>71</v>
      </c>
      <c r="F13" s="90">
        <v>25</v>
      </c>
      <c r="G13" s="90">
        <v>98</v>
      </c>
      <c r="H13" s="90">
        <v>35</v>
      </c>
      <c r="I13" s="90">
        <v>44</v>
      </c>
      <c r="J13" s="91">
        <f t="shared" si="0"/>
        <v>273</v>
      </c>
      <c r="K13" s="91">
        <f t="shared" si="1"/>
        <v>54.6</v>
      </c>
      <c r="L13" s="92" t="str">
        <f t="shared" si="2"/>
        <v>FAIL</v>
      </c>
      <c r="M13" s="93">
        <f t="shared" si="3"/>
        <v>8</v>
      </c>
      <c r="N13" s="94">
        <f t="shared" si="4"/>
        <v>55</v>
      </c>
      <c r="O13" s="20" t="str">
        <f t="shared" si="5"/>
        <v>L</v>
      </c>
    </row>
    <row r="14" spans="1:15" x14ac:dyDescent="0.25">
      <c r="A14" s="88">
        <v>10</v>
      </c>
      <c r="B14" s="89" t="s">
        <v>149</v>
      </c>
      <c r="C14" s="95" t="s">
        <v>124</v>
      </c>
      <c r="D14" s="89">
        <v>65987</v>
      </c>
      <c r="E14" s="90">
        <v>98</v>
      </c>
      <c r="F14" s="90">
        <v>96</v>
      </c>
      <c r="G14" s="90">
        <v>45</v>
      </c>
      <c r="H14" s="90">
        <v>35</v>
      </c>
      <c r="I14" s="90">
        <v>14</v>
      </c>
      <c r="J14" s="91">
        <f t="shared" si="0"/>
        <v>288</v>
      </c>
      <c r="K14" s="91">
        <f t="shared" si="1"/>
        <v>57.6</v>
      </c>
      <c r="L14" s="92" t="str">
        <f t="shared" si="2"/>
        <v>FAIL</v>
      </c>
      <c r="M14" s="93" t="e">
        <f t="shared" si="3"/>
        <v>#N/A</v>
      </c>
      <c r="N14" s="94">
        <f t="shared" si="4"/>
        <v>58</v>
      </c>
      <c r="O14" s="20" t="str">
        <f t="shared" si="5"/>
        <v>E</v>
      </c>
    </row>
  </sheetData>
  <conditionalFormatting sqref="M5:M14">
    <cfRule type="cellIs" dxfId="5" priority="5" operator="equal">
      <formula>2</formula>
    </cfRule>
    <cfRule type="cellIs" dxfId="4" priority="6" operator="equal">
      <formula>1</formula>
    </cfRule>
  </conditionalFormatting>
  <conditionalFormatting sqref="M4:M14">
    <cfRule type="cellIs" dxfId="3" priority="1" operator="equal">
      <formula>1</formula>
    </cfRule>
    <cfRule type="cellIs" dxfId="2" priority="2" operator="equal">
      <formula>3</formula>
    </cfRule>
    <cfRule type="cellIs" dxfId="1" priority="3" operator="equal">
      <formula>2</formula>
    </cfRule>
    <cfRule type="cellIs" dxfId="0" priority="4" operator="equal">
      <formula>3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B1"/>
  <sheetViews>
    <sheetView workbookViewId="0"/>
  </sheetViews>
  <sheetFormatPr defaultRowHeight="15" x14ac:dyDescent="0.25"/>
  <cols>
    <col min="1" max="1" width="7.7109375" bestFit="1" customWidth="1"/>
    <col min="2" max="2" width="6.85546875" bestFit="1" customWidth="1"/>
  </cols>
  <sheetData>
    <row r="1" spans="1:2" x14ac:dyDescent="0.25">
      <c r="A1" s="34" t="s">
        <v>73</v>
      </c>
      <c r="B1" t="s">
        <v>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B1"/>
  <sheetViews>
    <sheetView workbookViewId="0">
      <selection activeCell="B1" sqref="B1"/>
    </sheetView>
  </sheetViews>
  <sheetFormatPr defaultRowHeight="15" x14ac:dyDescent="0.25"/>
  <cols>
    <col min="1" max="1" width="7.7109375" bestFit="1" customWidth="1"/>
    <col min="2" max="2" width="6.5703125" bestFit="1" customWidth="1"/>
  </cols>
  <sheetData>
    <row r="1" spans="1:2" x14ac:dyDescent="0.25">
      <c r="A1" s="34" t="s">
        <v>73</v>
      </c>
      <c r="B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Normal Sheet</vt:lpstr>
      <vt:lpstr>Table</vt:lpstr>
      <vt:lpstr>Sheet1</vt:lpstr>
      <vt:lpstr>Sheet2</vt:lpstr>
      <vt:lpstr>Jan</vt:lpstr>
      <vt:lpstr>Feb</vt:lpstr>
      <vt:lpstr>Mar</vt:lpstr>
      <vt:lpstr>Apr</vt:lpstr>
      <vt:lpstr>May</vt:lpstr>
      <vt:lpstr>June</vt:lpstr>
      <vt:lpstr>Jul</vt:lpstr>
      <vt:lpstr>IF Function</vt:lpstr>
      <vt:lpstr>NESTED IF</vt:lpstr>
      <vt:lpstr>Oct</vt:lpstr>
      <vt:lpstr>Nov</vt:lpstr>
      <vt:lpstr>Dec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2026-01-03T13:48:35Z</dcterms:modified>
</cp:coreProperties>
</file>